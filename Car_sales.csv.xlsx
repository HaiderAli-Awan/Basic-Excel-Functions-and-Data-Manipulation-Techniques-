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COURCE VEDIOS\"/>
    </mc:Choice>
  </mc:AlternateContent>
  <xr:revisionPtr revIDLastSave="0" documentId="13_ncr:1_{A132C255-16A0-4263-9C0A-43C358FF6458}" xr6:coauthVersionLast="47" xr6:coauthVersionMax="47" xr10:uidLastSave="{00000000-0000-0000-0000-000000000000}"/>
  <bookViews>
    <workbookView xWindow="-108" yWindow="-108" windowWidth="23256" windowHeight="12456" activeTab="1" xr2:uid="{F3B70F35-CEDD-4333-B659-E1456342EAF1}"/>
  </bookViews>
  <sheets>
    <sheet name="Pivot Table" sheetId="2" r:id="rId1"/>
    <sheet name="Car_sales" sheetId="1" r:id="rId2"/>
    <sheet name="Xlookup" sheetId="5" r:id="rId3"/>
    <sheet name="HlookUp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V3" i="1"/>
  <c r="J2" i="1" a="1"/>
  <c r="J2" i="1"/>
  <c r="C2" i="1"/>
  <c r="C3" i="1"/>
  <c r="C4" i="1"/>
  <c r="C5" i="1"/>
  <c r="C6" i="1"/>
  <c r="C7" i="1"/>
  <c r="C8" i="1"/>
  <c r="C9" i="1"/>
  <c r="U5" i="1" s="1"/>
  <c r="C10" i="1"/>
  <c r="C11" i="1"/>
  <c r="C12" i="1"/>
  <c r="C13" i="1"/>
  <c r="C14" i="1"/>
  <c r="C15" i="1"/>
  <c r="C16" i="1"/>
  <c r="C17" i="1"/>
  <c r="C18" i="1"/>
  <c r="C19" i="1"/>
  <c r="C20" i="1"/>
  <c r="C21" i="1"/>
  <c r="U8" i="1" s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U12" i="1" s="1"/>
  <c r="C60" i="1"/>
  <c r="C61" i="1"/>
  <c r="C62" i="1"/>
  <c r="C63" i="1"/>
  <c r="C64" i="1"/>
  <c r="C65" i="1"/>
  <c r="C66" i="1"/>
  <c r="C67" i="1"/>
  <c r="C68" i="1"/>
  <c r="C69" i="1"/>
  <c r="U16" i="1" s="1"/>
  <c r="C70" i="1"/>
  <c r="C71" i="1"/>
  <c r="C72" i="1"/>
  <c r="C73" i="1"/>
  <c r="C74" i="1"/>
  <c r="C75" i="1"/>
  <c r="C76" i="1"/>
  <c r="C77" i="1"/>
  <c r="C78" i="1"/>
  <c r="C79" i="1"/>
  <c r="C80" i="1"/>
  <c r="C81" i="1"/>
  <c r="U19" i="1" s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U21" i="1" s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U28" i="1" s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U32" i="1" s="1"/>
  <c r="C154" i="1"/>
  <c r="C155" i="1"/>
  <c r="C156" i="1"/>
  <c r="C157" i="1"/>
  <c r="C158" i="1"/>
  <c r="T6" i="5" a="1"/>
  <c r="T6" i="5" s="1"/>
  <c r="T8" i="5" a="1"/>
  <c r="T8" i="5" s="1"/>
  <c r="T10" i="5" a="1"/>
  <c r="T10" i="5" s="1"/>
  <c r="J158" i="5" a="1"/>
  <c r="J158" i="5" s="1"/>
  <c r="C158" i="5"/>
  <c r="J157" i="5" a="1"/>
  <c r="J157" i="5" s="1"/>
  <c r="C157" i="5"/>
  <c r="J156" i="5" a="1"/>
  <c r="J156" i="5" s="1"/>
  <c r="C156" i="5"/>
  <c r="J155" i="5" a="1"/>
  <c r="J155" i="5" s="1"/>
  <c r="C155" i="5"/>
  <c r="J154" i="5" a="1"/>
  <c r="J154" i="5" s="1"/>
  <c r="C154" i="5"/>
  <c r="J153" i="5" a="1"/>
  <c r="J153" i="5" s="1"/>
  <c r="C153" i="5"/>
  <c r="J152" i="5" a="1"/>
  <c r="J152" i="5" s="1"/>
  <c r="C152" i="5"/>
  <c r="J151" i="5" a="1"/>
  <c r="J151" i="5" s="1"/>
  <c r="C151" i="5"/>
  <c r="J150" i="5" a="1"/>
  <c r="J150" i="5" s="1"/>
  <c r="C150" i="5"/>
  <c r="J149" i="5" a="1"/>
  <c r="J149" i="5" s="1"/>
  <c r="C149" i="5"/>
  <c r="J148" i="5" a="1"/>
  <c r="J148" i="5" s="1"/>
  <c r="C148" i="5"/>
  <c r="J147" i="5" a="1"/>
  <c r="J147" i="5" s="1"/>
  <c r="C147" i="5"/>
  <c r="J146" i="5" a="1"/>
  <c r="J146" i="5" s="1"/>
  <c r="C146" i="5"/>
  <c r="J145" i="5" a="1"/>
  <c r="J145" i="5" s="1"/>
  <c r="C145" i="5"/>
  <c r="J144" i="5" a="1"/>
  <c r="J144" i="5" s="1"/>
  <c r="C144" i="5"/>
  <c r="J143" i="5" a="1"/>
  <c r="J143" i="5" s="1"/>
  <c r="C143" i="5"/>
  <c r="J142" i="5" a="1"/>
  <c r="J142" i="5" s="1"/>
  <c r="C142" i="5"/>
  <c r="J141" i="5" a="1"/>
  <c r="J141" i="5" s="1"/>
  <c r="C141" i="5"/>
  <c r="J140" i="5" a="1"/>
  <c r="J140" i="5" s="1"/>
  <c r="C140" i="5"/>
  <c r="J139" i="5" a="1"/>
  <c r="J139" i="5" s="1"/>
  <c r="C139" i="5"/>
  <c r="J138" i="5" a="1"/>
  <c r="J138" i="5" s="1"/>
  <c r="C138" i="5"/>
  <c r="J137" i="5" a="1"/>
  <c r="J137" i="5" s="1"/>
  <c r="C137" i="5"/>
  <c r="J136" i="5" a="1"/>
  <c r="J136" i="5" s="1"/>
  <c r="C136" i="5"/>
  <c r="J135" i="5" a="1"/>
  <c r="J135" i="5" s="1"/>
  <c r="C135" i="5"/>
  <c r="J134" i="5" a="1"/>
  <c r="J134" i="5" s="1"/>
  <c r="C134" i="5"/>
  <c r="J133" i="5" a="1"/>
  <c r="J133" i="5" s="1"/>
  <c r="C133" i="5"/>
  <c r="J132" i="5" a="1"/>
  <c r="J132" i="5" s="1"/>
  <c r="C132" i="5"/>
  <c r="J131" i="5" a="1"/>
  <c r="J131" i="5" s="1"/>
  <c r="C131" i="5"/>
  <c r="J130" i="5" a="1"/>
  <c r="J130" i="5" s="1"/>
  <c r="C130" i="5"/>
  <c r="J129" i="5" a="1"/>
  <c r="J129" i="5" s="1"/>
  <c r="C129" i="5"/>
  <c r="J128" i="5" a="1"/>
  <c r="J128" i="5" s="1"/>
  <c r="C128" i="5"/>
  <c r="J127" i="5" a="1"/>
  <c r="J127" i="5" s="1"/>
  <c r="C127" i="5"/>
  <c r="J126" i="5" a="1"/>
  <c r="J126" i="5" s="1"/>
  <c r="C126" i="5"/>
  <c r="J125" i="5" a="1"/>
  <c r="J125" i="5" s="1"/>
  <c r="C125" i="5"/>
  <c r="J124" i="5" a="1"/>
  <c r="J124" i="5" s="1"/>
  <c r="C124" i="5"/>
  <c r="J123" i="5" a="1"/>
  <c r="J123" i="5" s="1"/>
  <c r="C123" i="5"/>
  <c r="J122" i="5" a="1"/>
  <c r="J122" i="5" s="1"/>
  <c r="C122" i="5"/>
  <c r="J121" i="5" a="1"/>
  <c r="J121" i="5" s="1"/>
  <c r="C121" i="5"/>
  <c r="J120" i="5" a="1"/>
  <c r="J120" i="5" s="1"/>
  <c r="C120" i="5"/>
  <c r="J119" i="5" a="1"/>
  <c r="J119" i="5" s="1"/>
  <c r="C119" i="5"/>
  <c r="J118" i="5" a="1"/>
  <c r="J118" i="5" s="1"/>
  <c r="C118" i="5"/>
  <c r="J117" i="5" a="1"/>
  <c r="J117" i="5" s="1"/>
  <c r="C117" i="5"/>
  <c r="J116" i="5" a="1"/>
  <c r="J116" i="5" s="1"/>
  <c r="C116" i="5"/>
  <c r="J115" i="5" a="1"/>
  <c r="J115" i="5" s="1"/>
  <c r="C115" i="5"/>
  <c r="J114" i="5" a="1"/>
  <c r="J114" i="5" s="1"/>
  <c r="C114" i="5"/>
  <c r="J113" i="5" a="1"/>
  <c r="J113" i="5" s="1"/>
  <c r="C113" i="5"/>
  <c r="J112" i="5" a="1"/>
  <c r="J112" i="5" s="1"/>
  <c r="C112" i="5"/>
  <c r="J111" i="5" a="1"/>
  <c r="J111" i="5" s="1"/>
  <c r="C111" i="5"/>
  <c r="J110" i="5" a="1"/>
  <c r="J110" i="5" s="1"/>
  <c r="C110" i="5"/>
  <c r="J109" i="5" a="1"/>
  <c r="J109" i="5" s="1"/>
  <c r="C109" i="5"/>
  <c r="J108" i="5" a="1"/>
  <c r="J108" i="5" s="1"/>
  <c r="C108" i="5"/>
  <c r="J107" i="5" a="1"/>
  <c r="J107" i="5" s="1"/>
  <c r="C107" i="5"/>
  <c r="J106" i="5" a="1"/>
  <c r="J106" i="5" s="1"/>
  <c r="C106" i="5"/>
  <c r="J105" i="5" a="1"/>
  <c r="J105" i="5" s="1"/>
  <c r="C105" i="5"/>
  <c r="J104" i="5" a="1"/>
  <c r="J104" i="5" s="1"/>
  <c r="C104" i="5"/>
  <c r="J103" i="5" a="1"/>
  <c r="J103" i="5" s="1"/>
  <c r="C103" i="5"/>
  <c r="J102" i="5" a="1"/>
  <c r="J102" i="5" s="1"/>
  <c r="C102" i="5"/>
  <c r="J101" i="5" a="1"/>
  <c r="J101" i="5" s="1"/>
  <c r="C101" i="5"/>
  <c r="J100" i="5" a="1"/>
  <c r="J100" i="5" s="1"/>
  <c r="C100" i="5"/>
  <c r="J99" i="5" a="1"/>
  <c r="J99" i="5" s="1"/>
  <c r="C99" i="5"/>
  <c r="J98" i="5" a="1"/>
  <c r="J98" i="5" s="1"/>
  <c r="C98" i="5"/>
  <c r="J97" i="5" a="1"/>
  <c r="J97" i="5" s="1"/>
  <c r="C97" i="5"/>
  <c r="J96" i="5" a="1"/>
  <c r="J96" i="5" s="1"/>
  <c r="C96" i="5"/>
  <c r="J95" i="5" a="1"/>
  <c r="J95" i="5" s="1"/>
  <c r="C95" i="5"/>
  <c r="J94" i="5" a="1"/>
  <c r="J94" i="5" s="1"/>
  <c r="C94" i="5"/>
  <c r="J93" i="5" a="1"/>
  <c r="J93" i="5" s="1"/>
  <c r="C93" i="5"/>
  <c r="J92" i="5" a="1"/>
  <c r="J92" i="5" s="1"/>
  <c r="C92" i="5"/>
  <c r="J91" i="5" a="1"/>
  <c r="J91" i="5" s="1"/>
  <c r="C91" i="5"/>
  <c r="J90" i="5" a="1"/>
  <c r="J90" i="5" s="1"/>
  <c r="C90" i="5"/>
  <c r="J89" i="5" a="1"/>
  <c r="J89" i="5" s="1"/>
  <c r="C89" i="5"/>
  <c r="J88" i="5" a="1"/>
  <c r="J88" i="5" s="1"/>
  <c r="C88" i="5"/>
  <c r="J87" i="5" a="1"/>
  <c r="J87" i="5" s="1"/>
  <c r="C87" i="5"/>
  <c r="J86" i="5" a="1"/>
  <c r="J86" i="5" s="1"/>
  <c r="C86" i="5"/>
  <c r="J85" i="5" a="1"/>
  <c r="J85" i="5" s="1"/>
  <c r="C85" i="5"/>
  <c r="J84" i="5" a="1"/>
  <c r="J84" i="5" s="1"/>
  <c r="C84" i="5"/>
  <c r="J83" i="5" a="1"/>
  <c r="J83" i="5" s="1"/>
  <c r="C83" i="5"/>
  <c r="J82" i="5" a="1"/>
  <c r="J82" i="5" s="1"/>
  <c r="C82" i="5"/>
  <c r="J81" i="5" a="1"/>
  <c r="J81" i="5" s="1"/>
  <c r="C81" i="5"/>
  <c r="J80" i="5" a="1"/>
  <c r="J80" i="5" s="1"/>
  <c r="C80" i="5"/>
  <c r="J79" i="5" a="1"/>
  <c r="J79" i="5" s="1"/>
  <c r="C79" i="5"/>
  <c r="J78" i="5" a="1"/>
  <c r="J78" i="5" s="1"/>
  <c r="C78" i="5"/>
  <c r="J77" i="5" a="1"/>
  <c r="J77" i="5" s="1"/>
  <c r="C77" i="5"/>
  <c r="J76" i="5" a="1"/>
  <c r="J76" i="5" s="1"/>
  <c r="C76" i="5"/>
  <c r="J75" i="5" a="1"/>
  <c r="J75" i="5" s="1"/>
  <c r="C75" i="5"/>
  <c r="J74" i="5" a="1"/>
  <c r="J74" i="5" s="1"/>
  <c r="C74" i="5"/>
  <c r="J73" i="5" a="1"/>
  <c r="J73" i="5" s="1"/>
  <c r="C73" i="5"/>
  <c r="J72" i="5" a="1"/>
  <c r="J72" i="5" s="1"/>
  <c r="C72" i="5"/>
  <c r="J71" i="5" a="1"/>
  <c r="J71" i="5" s="1"/>
  <c r="C71" i="5"/>
  <c r="J70" i="5" a="1"/>
  <c r="J70" i="5" s="1"/>
  <c r="C70" i="5"/>
  <c r="J69" i="5" a="1"/>
  <c r="J69" i="5" s="1"/>
  <c r="C69" i="5"/>
  <c r="J68" i="5" a="1"/>
  <c r="J68" i="5" s="1"/>
  <c r="C68" i="5"/>
  <c r="J67" i="5" a="1"/>
  <c r="J67" i="5" s="1"/>
  <c r="C67" i="5"/>
  <c r="J66" i="5" a="1"/>
  <c r="J66" i="5" s="1"/>
  <c r="C66" i="5"/>
  <c r="J65" i="5" a="1"/>
  <c r="J65" i="5" s="1"/>
  <c r="C65" i="5"/>
  <c r="J64" i="5" a="1"/>
  <c r="J64" i="5" s="1"/>
  <c r="C64" i="5"/>
  <c r="J63" i="5" a="1"/>
  <c r="J63" i="5" s="1"/>
  <c r="C63" i="5"/>
  <c r="J62" i="5" a="1"/>
  <c r="J62" i="5" s="1"/>
  <c r="C62" i="5"/>
  <c r="J61" i="5" a="1"/>
  <c r="J61" i="5" s="1"/>
  <c r="C61" i="5"/>
  <c r="J60" i="5" a="1"/>
  <c r="J60" i="5" s="1"/>
  <c r="C60" i="5"/>
  <c r="J59" i="5" a="1"/>
  <c r="J59" i="5" s="1"/>
  <c r="C59" i="5"/>
  <c r="J58" i="5" a="1"/>
  <c r="J58" i="5" s="1"/>
  <c r="C58" i="5"/>
  <c r="J57" i="5" a="1"/>
  <c r="J57" i="5" s="1"/>
  <c r="C57" i="5"/>
  <c r="J56" i="5" a="1"/>
  <c r="J56" i="5" s="1"/>
  <c r="C56" i="5"/>
  <c r="J55" i="5" a="1"/>
  <c r="J55" i="5" s="1"/>
  <c r="C55" i="5"/>
  <c r="J54" i="5" a="1"/>
  <c r="J54" i="5" s="1"/>
  <c r="C54" i="5"/>
  <c r="J53" i="5" a="1"/>
  <c r="J53" i="5" s="1"/>
  <c r="C53" i="5"/>
  <c r="J52" i="5" a="1"/>
  <c r="J52" i="5" s="1"/>
  <c r="C52" i="5"/>
  <c r="J51" i="5" a="1"/>
  <c r="J51" i="5" s="1"/>
  <c r="C51" i="5"/>
  <c r="J50" i="5" a="1"/>
  <c r="J50" i="5" s="1"/>
  <c r="C50" i="5"/>
  <c r="J49" i="5" a="1"/>
  <c r="J49" i="5" s="1"/>
  <c r="C49" i="5"/>
  <c r="J48" i="5" a="1"/>
  <c r="J48" i="5" s="1"/>
  <c r="C48" i="5"/>
  <c r="J47" i="5" a="1"/>
  <c r="J47" i="5" s="1"/>
  <c r="C47" i="5"/>
  <c r="J46" i="5" a="1"/>
  <c r="J46" i="5" s="1"/>
  <c r="C46" i="5"/>
  <c r="J45" i="5" a="1"/>
  <c r="J45" i="5" s="1"/>
  <c r="C45" i="5"/>
  <c r="J44" i="5" a="1"/>
  <c r="J44" i="5" s="1"/>
  <c r="C44" i="5"/>
  <c r="J43" i="5" a="1"/>
  <c r="J43" i="5" s="1"/>
  <c r="C43" i="5"/>
  <c r="J42" i="5" a="1"/>
  <c r="J42" i="5" s="1"/>
  <c r="C42" i="5"/>
  <c r="J41" i="5" a="1"/>
  <c r="J41" i="5" s="1"/>
  <c r="C41" i="5"/>
  <c r="J40" i="5" a="1"/>
  <c r="J40" i="5" s="1"/>
  <c r="C40" i="5"/>
  <c r="J39" i="5" a="1"/>
  <c r="J39" i="5" s="1"/>
  <c r="C39" i="5"/>
  <c r="J38" i="5" a="1"/>
  <c r="J38" i="5" s="1"/>
  <c r="C38" i="5"/>
  <c r="J37" i="5" a="1"/>
  <c r="J37" i="5" s="1"/>
  <c r="C37" i="5"/>
  <c r="J36" i="5" a="1"/>
  <c r="J36" i="5" s="1"/>
  <c r="C36" i="5"/>
  <c r="J35" i="5" a="1"/>
  <c r="J35" i="5" s="1"/>
  <c r="C35" i="5"/>
  <c r="J34" i="5" a="1"/>
  <c r="J34" i="5" s="1"/>
  <c r="C34" i="5"/>
  <c r="J33" i="5" a="1"/>
  <c r="J33" i="5" s="1"/>
  <c r="C33" i="5"/>
  <c r="J32" i="5" a="1"/>
  <c r="J32" i="5" s="1"/>
  <c r="C32" i="5"/>
  <c r="J31" i="5" a="1"/>
  <c r="J31" i="5" s="1"/>
  <c r="C31" i="5"/>
  <c r="J30" i="5" a="1"/>
  <c r="J30" i="5" s="1"/>
  <c r="C30" i="5"/>
  <c r="J29" i="5" a="1"/>
  <c r="J29" i="5" s="1"/>
  <c r="C29" i="5"/>
  <c r="J28" i="5" a="1"/>
  <c r="J28" i="5" s="1"/>
  <c r="C28" i="5"/>
  <c r="J27" i="5" a="1"/>
  <c r="J27" i="5" s="1"/>
  <c r="C27" i="5"/>
  <c r="J26" i="5" a="1"/>
  <c r="J26" i="5" s="1"/>
  <c r="C26" i="5"/>
  <c r="J25" i="5" a="1"/>
  <c r="J25" i="5" s="1"/>
  <c r="C25" i="5"/>
  <c r="J24" i="5" a="1"/>
  <c r="J24" i="5" s="1"/>
  <c r="C24" i="5"/>
  <c r="J23" i="5" a="1"/>
  <c r="J23" i="5" s="1"/>
  <c r="C23" i="5"/>
  <c r="J22" i="5" a="1"/>
  <c r="J22" i="5" s="1"/>
  <c r="C22" i="5"/>
  <c r="J21" i="5" a="1"/>
  <c r="J21" i="5" s="1"/>
  <c r="C21" i="5"/>
  <c r="J20" i="5" a="1"/>
  <c r="J20" i="5" s="1"/>
  <c r="C20" i="5"/>
  <c r="J19" i="5" a="1"/>
  <c r="J19" i="5" s="1"/>
  <c r="C19" i="5"/>
  <c r="J18" i="5" a="1"/>
  <c r="J18" i="5" s="1"/>
  <c r="C18" i="5"/>
  <c r="J17" i="5" a="1"/>
  <c r="J17" i="5" s="1"/>
  <c r="C17" i="5"/>
  <c r="J16" i="5" a="1"/>
  <c r="J16" i="5" s="1"/>
  <c r="C16" i="5"/>
  <c r="J15" i="5" a="1"/>
  <c r="J15" i="5" s="1"/>
  <c r="C15" i="5"/>
  <c r="J14" i="5" a="1"/>
  <c r="J14" i="5" s="1"/>
  <c r="C14" i="5"/>
  <c r="J13" i="5" a="1"/>
  <c r="J13" i="5" s="1"/>
  <c r="C13" i="5"/>
  <c r="J12" i="5" a="1"/>
  <c r="J12" i="5" s="1"/>
  <c r="C12" i="5"/>
  <c r="J11" i="5" a="1"/>
  <c r="J11" i="5" s="1"/>
  <c r="C11" i="5"/>
  <c r="J10" i="5" a="1"/>
  <c r="J10" i="5" s="1"/>
  <c r="C10" i="5"/>
  <c r="J9" i="5" a="1"/>
  <c r="J9" i="5" s="1"/>
  <c r="C9" i="5"/>
  <c r="J8" i="5" a="1"/>
  <c r="J8" i="5" s="1"/>
  <c r="C8" i="5"/>
  <c r="J7" i="5" a="1"/>
  <c r="J7" i="5" s="1"/>
  <c r="C7" i="5"/>
  <c r="J6" i="5" a="1"/>
  <c r="J6" i="5" s="1"/>
  <c r="C6" i="5"/>
  <c r="J5" i="5" a="1"/>
  <c r="J5" i="5" s="1"/>
  <c r="C5" i="5"/>
  <c r="J4" i="5" a="1"/>
  <c r="J4" i="5" s="1"/>
  <c r="C4" i="5"/>
  <c r="J3" i="5" a="1"/>
  <c r="J3" i="5" s="1"/>
  <c r="C3" i="5"/>
  <c r="J2" i="5" a="1"/>
  <c r="J2" i="5" s="1"/>
  <c r="C2" i="5"/>
  <c r="B7" i="4"/>
  <c r="B9" i="4"/>
  <c r="B10" i="4"/>
  <c r="B8" i="4"/>
  <c r="X5" i="1"/>
  <c r="J4" i="1" a="1"/>
  <c r="J4" i="1"/>
  <c r="V4" i="1"/>
  <c r="J35" i="1" a="1"/>
  <c r="J35" i="1" s="1"/>
  <c r="X3" i="1"/>
  <c r="J3" i="1" a="1"/>
  <c r="J3" i="1"/>
  <c r="J5" i="1" a="1"/>
  <c r="J5" i="1" s="1"/>
  <c r="J6" i="1" a="1"/>
  <c r="J6" i="1" s="1"/>
  <c r="J7" i="1" a="1"/>
  <c r="J7" i="1" s="1"/>
  <c r="J8" i="1" a="1"/>
  <c r="J8" i="1" s="1"/>
  <c r="J9" i="1" a="1"/>
  <c r="J9" i="1"/>
  <c r="J10" i="1" a="1"/>
  <c r="J10" i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/>
  <c r="J18" i="1" a="1"/>
  <c r="J18" i="1" s="1"/>
  <c r="J19" i="1" a="1"/>
  <c r="J19" i="1" s="1"/>
  <c r="J20" i="1" a="1"/>
  <c r="J20" i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/>
  <c r="J28" i="1" a="1"/>
  <c r="J28" i="1" s="1"/>
  <c r="J29" i="1" a="1"/>
  <c r="J29" i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6" i="1" a="1"/>
  <c r="J36" i="1"/>
  <c r="J37" i="1" a="1"/>
  <c r="J37" i="1" s="1"/>
  <c r="J38" i="1" a="1"/>
  <c r="J38" i="1" s="1"/>
  <c r="J39" i="1" a="1"/>
  <c r="J39" i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/>
  <c r="J56" i="1" a="1"/>
  <c r="J56" i="1" s="1"/>
  <c r="J57" i="1" a="1"/>
  <c r="J57" i="1" s="1"/>
  <c r="J58" i="1" a="1"/>
  <c r="J58" i="1"/>
  <c r="J59" i="1" a="1"/>
  <c r="J59" i="1" s="1"/>
  <c r="J60" i="1" a="1"/>
  <c r="J60" i="1" s="1"/>
  <c r="J61" i="1" a="1"/>
  <c r="J61" i="1"/>
  <c r="J62" i="1" a="1"/>
  <c r="J62" i="1" s="1"/>
  <c r="J63" i="1" a="1"/>
  <c r="J63" i="1" s="1"/>
  <c r="J64" i="1" a="1"/>
  <c r="J64" i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/>
  <c r="J71" i="1" a="1"/>
  <c r="J71" i="1" s="1"/>
  <c r="J72" i="1" a="1"/>
  <c r="J72" i="1" s="1"/>
  <c r="J73" i="1" a="1"/>
  <c r="J73" i="1" s="1"/>
  <c r="J74" i="1" a="1"/>
  <c r="J74" i="1"/>
  <c r="J75" i="1" a="1"/>
  <c r="J75" i="1" s="1"/>
  <c r="J76" i="1" a="1"/>
  <c r="J76" i="1" s="1"/>
  <c r="J77" i="1" a="1"/>
  <c r="J77" i="1"/>
  <c r="J78" i="1" a="1"/>
  <c r="J78" i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/>
  <c r="J90" i="1" a="1"/>
  <c r="J90" i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/>
  <c r="J97" i="1" a="1"/>
  <c r="J97" i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/>
  <c r="J106" i="1" a="1"/>
  <c r="J106" i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/>
  <c r="J155" i="1" a="1"/>
  <c r="J155" i="1" s="1"/>
  <c r="J156" i="1" a="1"/>
  <c r="J156" i="1" s="1"/>
  <c r="J157" i="1" a="1"/>
  <c r="J157" i="1" s="1"/>
  <c r="J158" i="1" a="1"/>
  <c r="J158" i="1" s="1"/>
  <c r="U4" i="1"/>
  <c r="U6" i="1"/>
  <c r="U7" i="1"/>
  <c r="U9" i="1"/>
  <c r="U10" i="1"/>
  <c r="U11" i="1"/>
  <c r="U13" i="1"/>
  <c r="U14" i="1"/>
  <c r="U15" i="1"/>
  <c r="U17" i="1"/>
  <c r="U18" i="1"/>
  <c r="U20" i="1"/>
  <c r="U22" i="1"/>
  <c r="U23" i="1"/>
  <c r="U24" i="1"/>
  <c r="U25" i="1"/>
  <c r="U26" i="1"/>
  <c r="U27" i="1"/>
  <c r="U29" i="1"/>
  <c r="U30" i="1"/>
  <c r="U31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X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<sst xmlns="http://schemas.openxmlformats.org/spreadsheetml/2006/main" count="1094" uniqueCount="250">
  <si>
    <t>Manufacturer</t>
  </si>
  <si>
    <t>Model</t>
  </si>
  <si>
    <t>Sales_in_thousands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</si>
  <si>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</si>
  <si>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</si>
  <si>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</si>
  <si>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</si>
  <si>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</si>
  <si>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</si>
  <si>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</si>
  <si>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</si>
  <si>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</si>
  <si>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</si>
  <si>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</si>
  <si>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</si>
  <si>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</si>
  <si>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</si>
  <si>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</si>
  <si>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</si>
  <si>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</si>
  <si>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</si>
  <si>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</si>
  <si>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</si>
  <si>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</si>
  <si>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</si>
  <si>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</si>
  <si>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</si>
  <si>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</si>
  <si>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</si>
  <si>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</si>
  <si>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</si>
  <si>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</si>
  <si>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</si>
  <si>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</si>
  <si>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</si>
  <si>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</si>
  <si>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</si>
  <si>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</si>
  <si>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</si>
  <si>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</si>
  <si>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</si>
  <si>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</si>
  <si>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</si>
  <si>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</si>
  <si>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</si>
  <si>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</si>
  <si>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</si>
  <si>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</si>
  <si>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</si>
  <si>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</si>
  <si>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</si>
  <si>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</si>
  <si>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</si>
  <si>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</si>
  <si>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</si>
  <si>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</si>
  <si>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</si>
  <si>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</si>
  <si>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</si>
  <si>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</si>
  <si>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</si>
  <si>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</si>
  <si>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</si>
  <si>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</si>
  <si>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</si>
  <si>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</si>
  <si>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</si>
  <si>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</si>
  <si>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</si>
  <si>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</si>
  <si>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</si>
  <si>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</si>
  <si>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</si>
  <si>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</si>
  <si>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</si>
  <si>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</si>
  <si>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</si>
  <si>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</si>
  <si>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</si>
  <si>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</si>
  <si>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</si>
  <si>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</si>
  <si>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</si>
  <si>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</si>
  <si>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</si>
  <si>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</si>
  <si>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</si>
  <si>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</si>
  <si>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</si>
  <si>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</si>
  <si>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</si>
  <si>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</si>
  <si>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</si>
  <si>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</si>
  <si>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</si>
  <si>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</si>
  <si>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</si>
  <si>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</si>
  <si>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</si>
  <si>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</si>
  <si>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</si>
  <si>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</si>
  <si>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</si>
  <si>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</si>
  <si>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</si>
  <si>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</si>
  <si>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</si>
  <si>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</si>
  <si>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</si>
  <si>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</si>
  <si>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</si>
  <si>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</si>
  <si>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</si>
  <si>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</si>
  <si>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</si>
  <si>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</si>
  <si>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</si>
  <si>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</si>
  <si>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</si>
  <si>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</si>
  <si>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</si>
  <si>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</si>
  <si>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</si>
  <si>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</si>
  <si>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</si>
  <si>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</si>
  <si>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</si>
  <si>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</si>
  <si>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</si>
  <si>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</si>
  <si>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</si>
  <si>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</si>
  <si>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</si>
  <si>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</si>
  <si>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</si>
  <si>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</si>
  <si>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</si>
  <si>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</si>
  <si>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</si>
  <si>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</si>
  <si>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</si>
  <si>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</si>
  <si>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</si>
  <si>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</si>
  <si>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</si>
  <si>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</si>
  <si>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</si>
  <si>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</si>
  <si>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</si>
  <si>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</si>
  <si>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</si>
  <si>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</si>
  <si>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</si>
  <si>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</si>
  <si>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</si>
  <si>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</si>
  <si>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</si>
  <si>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</si>
  <si>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</si>
  <si>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</si>
  <si>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</si>
  <si>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</si>
  <si>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</si>
  <si>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</si>
  <si>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</si>
  <si>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</si>
  <si>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</si>
  <si>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</si>
  <si>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</si>
  <si>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</si>
  <si>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</si>
  <si>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</si>
  <si>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</si>
  <si>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</si>
  <si>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</si>
  <si>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</si>
  <si>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</si>
  <si>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</si>
  <si>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</si>
  <si>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</si>
  <si>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</si>
  <si>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</si>
  <si>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</si>
  <si>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</si>
  <si>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</si>
  <si>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</si>
  <si>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</si>
  <si>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</si>
  <si>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</si>
  <si>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</si>
  <si>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</si>
  <si>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</si>
  <si>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</si>
  <si>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</si>
  <si>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</si>
  <si>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</si>
  <si>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</si>
  <si>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</si>
  <si>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</si>
  <si>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</si>
  <si>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</si>
  <si>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</si>
  <si>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Sum of __year_resale_value</t>
  </si>
  <si>
    <t>Row Labels</t>
  </si>
  <si>
    <t>Grand Total</t>
  </si>
  <si>
    <t>Sum of Sales_in_thousands</t>
  </si>
  <si>
    <t>Sum of Price_in_thousands</t>
  </si>
  <si>
    <t>Sum of Engine_size</t>
  </si>
  <si>
    <t>Sum of Horsepower</t>
  </si>
  <si>
    <t>Sum of Wheelbase</t>
  </si>
  <si>
    <t>VLOOKUP - Find car details by Manufacturer and Model</t>
  </si>
  <si>
    <t>High Low Sales</t>
  </si>
  <si>
    <t>Performance Tier</t>
  </si>
  <si>
    <t xml:space="preserve">Scenario: Count how many vehicles are of the type "Passenger".
</t>
  </si>
  <si>
    <t>Count IF</t>
  </si>
  <si>
    <t>SumIF</t>
  </si>
  <si>
    <t>Scenario 2: Count how many vehicles have a resale value greater than $20,000.
excel =COUNTIF(D:D, "&gt;20")</t>
  </si>
  <si>
    <t xml:space="preserve">Scenario: Calculate the total sales (in thousands) for all "Car" type vehicles.
</t>
  </si>
  <si>
    <t>Here F:F is Vehicle Type , Car is criteria, G:G is sales in thousand ,The result will be the sum of sales for all cars.</t>
  </si>
  <si>
    <t>Column1</t>
  </si>
  <si>
    <t>Sum</t>
  </si>
  <si>
    <t>Average</t>
  </si>
  <si>
    <t>Running Total</t>
  </si>
  <si>
    <t>Count</t>
  </si>
  <si>
    <t>Name</t>
  </si>
  <si>
    <t>Rajat L</t>
  </si>
  <si>
    <t>Namit J</t>
  </si>
  <si>
    <t>Kriya V</t>
  </si>
  <si>
    <t>Mohd Y</t>
  </si>
  <si>
    <t>Lokesh R</t>
  </si>
  <si>
    <t>Chris G</t>
  </si>
  <si>
    <t>Neha A</t>
  </si>
  <si>
    <t>Rakesh B</t>
  </si>
  <si>
    <t>Santosh B</t>
  </si>
  <si>
    <t>Vikas C</t>
  </si>
  <si>
    <t>Vivek D</t>
  </si>
  <si>
    <t>Bharat G</t>
  </si>
  <si>
    <t>Nilesh S</t>
  </si>
  <si>
    <t>Employee ID</t>
  </si>
  <si>
    <t>Salary</t>
  </si>
  <si>
    <t>Bonus</t>
  </si>
  <si>
    <t>Manufacture</t>
  </si>
  <si>
    <t>Sales Type</t>
  </si>
  <si>
    <t xml:space="preserve">X look Up </t>
  </si>
  <si>
    <t xml:space="preserve">price </t>
  </si>
  <si>
    <t>engine size</t>
  </si>
  <si>
    <t>horsepower</t>
  </si>
  <si>
    <t>Find cars between $20,000-$30,000 WITH high sales:</t>
  </si>
  <si>
    <t xml:space="preserve">Create a mini-dashboard for any car:
</t>
  </si>
  <si>
    <t>Sales in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</si>
</sst>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9" formatCode="&quot;₹&quot;\ 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0" fontId="18" fillId="33" borderId="0" applyFont="0"/>
  </cellStyleXfs>
  <cellXfs count="4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8" fillId="33" borderId="0" xfId="0" applyFont="1" applyFill="1"/>
    <xf numFmtId="164" fontId="18" fillId="33" borderId="0" xfId="0" applyNumberFormat="1" applyFont="1" applyFill="1"/>
    <xf numFmtId="44" fontId="18" fillId="33" borderId="0" xfId="0" applyNumberFormat="1" applyFont="1" applyFill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44" fontId="18" fillId="33" borderId="0" xfId="42" applyFont="1" applyFill="1"/>
    <xf numFmtId="44" fontId="0" fillId="0" borderId="0" xfId="42" applyFont="1"/>
    <xf numFmtId="0" fontId="19" fillId="34" borderId="0" xfId="0" applyFont="1" applyFill="1" applyAlignment="1">
      <alignment horizontal="center" wrapText="1"/>
    </xf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16" fillId="0" borderId="0" xfId="0" applyFont="1" applyAlignment="1"/>
    <xf numFmtId="0" fontId="0" fillId="0" borderId="0" xfId="0" applyAlignment="1"/>
    <xf numFmtId="0" fontId="0" fillId="35" borderId="0" xfId="0" applyFill="1"/>
    <xf numFmtId="44" fontId="0" fillId="35" borderId="0" xfId="0" applyNumberFormat="1" applyFill="1"/>
    <xf numFmtId="164" fontId="0" fillId="35" borderId="0" xfId="0" applyNumberFormat="1" applyFill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44" fontId="0" fillId="0" borderId="11" xfId="0" applyNumberFormat="1" applyFont="1" applyBorder="1"/>
    <xf numFmtId="164" fontId="0" fillId="0" borderId="11" xfId="0" applyNumberFormat="1" applyFont="1" applyBorder="1"/>
    <xf numFmtId="44" fontId="0" fillId="0" borderId="11" xfId="42" applyNumberFormat="1" applyFont="1" applyBorder="1"/>
    <xf numFmtId="14" fontId="0" fillId="0" borderId="11" xfId="0" applyNumberFormat="1" applyFont="1" applyBorder="1"/>
    <xf numFmtId="44" fontId="0" fillId="0" borderId="13" xfId="0" applyNumberFormat="1" applyFont="1" applyBorder="1"/>
    <xf numFmtId="164" fontId="0" fillId="0" borderId="13" xfId="0" applyNumberFormat="1" applyFont="1" applyBorder="1"/>
    <xf numFmtId="44" fontId="0" fillId="0" borderId="13" xfId="42" applyNumberFormat="1" applyFont="1" applyBorder="1"/>
    <xf numFmtId="14" fontId="0" fillId="0" borderId="13" xfId="0" applyNumberFormat="1" applyFont="1" applyBorder="1"/>
    <xf numFmtId="0" fontId="20" fillId="33" borderId="11" xfId="0" applyFont="1" applyFill="1" applyBorder="1"/>
    <xf numFmtId="0" fontId="20" fillId="33" borderId="12" xfId="0" applyFont="1" applyFill="1" applyBorder="1"/>
    <xf numFmtId="0" fontId="21" fillId="38" borderId="0" xfId="0" applyFont="1" applyFill="1"/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0" fontId="21" fillId="38" borderId="0" xfId="0" applyFont="1" applyFill="1" applyAlignment="1">
      <alignment horizontal="center"/>
    </xf>
    <xf numFmtId="169" fontId="0" fillId="0" borderId="0" xfId="0" applyNumberFormat="1" applyAlignment="1">
      <alignment horizontal="center"/>
    </xf>
    <xf numFmtId="0" fontId="16" fillId="37" borderId="0" xfId="0" applyFont="1" applyFill="1"/>
    <xf numFmtId="0" fontId="16" fillId="39" borderId="0" xfId="0" applyFont="1" applyFill="1" applyAlignment="1">
      <alignment horizontal="center" vertical="center"/>
    </xf>
    <xf numFmtId="0" fontId="16" fillId="39" borderId="0" xfId="0" applyFont="1" applyFill="1" applyAlignment="1">
      <alignment horizontal="center"/>
    </xf>
    <xf numFmtId="0" fontId="16" fillId="36" borderId="0" xfId="0" applyFont="1" applyFill="1"/>
    <xf numFmtId="0" fontId="16" fillId="0" borderId="0" xfId="0" applyFont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3" xr:uid="{84BFCDC5-2798-4B45-AEE7-38F762E22BC5}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numFmt numFmtId="34" formatCode="_(&quot;$&quot;* #,##0.00_);_(&quot;$&quot;* \(#,##0.00\);_(&quot;$&quot;* &quot;-&quot;??_);_(@_)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ZIO" refreshedDate="45978.880617708332" createdVersion="8" refreshedVersion="8" minRefreshableVersion="3" recordCount="158" xr:uid="{638DCFAD-6E70-462C-8C6A-447407AFB1FA}">
  <cacheSource type="worksheet">
    <worksheetSource ref="A1:K1048576" sheet="Car_sales"/>
  </cacheSource>
  <cacheFields count="9">
    <cacheField name="Manufacturer" numFmtId="0">
      <sharedItems containsBlank="1" count="31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  <m/>
      </sharedItems>
    </cacheField>
    <cacheField name="Model" numFmtId="44">
      <sharedItems containsBlank="1" containsMixedTypes="1" containsNumber="1" containsInteger="1" minValue="45903" maxValue="45905" count="157">
        <s v="Integra"/>
        <s v="TL"/>
        <s v="C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Town &amp; Country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n v="45905"/>
        <n v="4590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  <m/>
      </sharedItems>
    </cacheField>
    <cacheField name="Sales_in_thousands" numFmtId="164">
      <sharedItems containsString="0" containsBlank="1" containsNumber="1" minValue="0.11" maxValue="540.56100000000004" count="158">
        <n v="16.919"/>
        <n v="39.384"/>
        <n v="14.114000000000001"/>
        <n v="8.5879999999999992"/>
        <n v="20.396999999999998"/>
        <n v="18.78"/>
        <n v="1.38"/>
        <n v="19.747"/>
        <n v="9.2309999999999999"/>
        <n v="17.527000000000001"/>
        <n v="91.561000000000007"/>
        <n v="39.35"/>
        <n v="27.850999999999999"/>
        <n v="83.257000000000005"/>
        <n v="63.728999999999999"/>
        <n v="15.943"/>
        <n v="6.5359999999999996"/>
        <n v="11.185"/>
        <n v="14.785"/>
        <n v="145.51900000000001"/>
        <n v="135.126"/>
        <n v="24.629000000000001"/>
        <n v="42.593000000000004"/>
        <n v="26.402000000000001"/>
        <n v="17.946999999999999"/>
        <n v="32.298999999999999"/>
        <n v="21.855"/>
        <n v="107.995"/>
        <n v="7.8540000000000001"/>
        <n v="32.774999999999999"/>
        <n v="31.148"/>
        <n v="32.305999999999997"/>
        <n v="13.462"/>
        <n v="53.48"/>
        <n v="30.696000000000002"/>
        <n v="76.034000000000006"/>
        <n v="4.734"/>
        <n v="71.186000000000007"/>
        <n v="88.028000000000006"/>
        <n v="0.91600000000000004"/>
        <n v="227.06100000000001"/>
        <n v="16.766999999999999"/>
        <n v="31.038"/>
        <n v="111.313"/>
        <n v="101.32299999999999"/>
        <n v="181.749"/>
        <n v="70.227000000000004"/>
        <n v="113.369"/>
        <n v="35.067999999999998"/>
        <n v="245.815"/>
        <n v="175.67"/>
        <n v="63.402999999999999"/>
        <n v="276.74700000000001"/>
        <n v="155.78700000000001"/>
        <n v="125.33799999999999"/>
        <n v="220.65"/>
        <n v="540.56100000000004"/>
        <n v="199.685"/>
        <n v="230.90199999999999"/>
        <n v="73.203000000000003"/>
        <n v="12.855"/>
        <n v="76.028999999999996"/>
        <n v="41.183999999999997"/>
        <n v="66.691999999999993"/>
        <n v="29.45"/>
        <n v="23.713000000000001"/>
        <n v="15.467000000000001"/>
        <n v="55.557000000000002"/>
        <n v="80.555999999999997"/>
        <n v="157.04"/>
        <n v="24.071999999999999"/>
        <n v="12.698"/>
        <n v="3.3340000000000001"/>
        <n v="6.375"/>
        <n v="9.1259999999999994"/>
        <n v="51.238"/>
        <n v="13.798"/>
        <n v="48.911000000000001"/>
        <n v="22.925000000000001"/>
        <n v="26.231999999999999"/>
        <n v="42.540999999999997"/>
        <n v="55.616"/>
        <n v="5.7110000000000003"/>
        <n v="0.11"/>
        <n v="11.337"/>
        <n v="39.347999999999999"/>
        <n v="14.351000000000001"/>
        <n v="26.529"/>
        <n v="67.956000000000003"/>
        <n v="81.174000000000007"/>
        <n v="27.609000000000002"/>
        <n v="20.38"/>
        <n v="18.391999999999999"/>
        <n v="27.602"/>
        <n v="16.774000000000001"/>
        <n v="3.3109999999999999"/>
        <n v="7.9980000000000002"/>
        <n v="1.526"/>
        <n v="11.592000000000001"/>
        <n v="0.95399999999999996"/>
        <n v="28.975999999999999"/>
        <n v="42.643000000000001"/>
        <n v="88.093999999999994"/>
        <n v="79.852999999999994"/>
        <n v="27.308"/>
        <n v="42.573999999999998"/>
        <n v="54.158000000000001"/>
        <n v="65.004999999999995"/>
        <n v="1.1120000000000001"/>
        <n v="38.554000000000002"/>
        <n v="80.254999999999995"/>
        <n v="14.69"/>
        <n v="20.016999999999999"/>
        <n v="24.361000000000001"/>
        <n v="32.734000000000002"/>
        <n v="5.24"/>
        <n v="24.155000000000001"/>
        <n v="1.8720000000000001"/>
        <n v="51.645000000000003"/>
        <n v="131.09700000000001"/>
        <n v="19.911000000000001"/>
        <n v="92.364000000000004"/>
        <n v="35.945"/>
        <n v="39.572000000000003"/>
        <n v="8.9819999999999993"/>
        <n v="1.28"/>
        <n v="1.8660000000000001"/>
        <n v="9.1910000000000007"/>
        <n v="12.115"/>
        <n v="80.62"/>
        <n v="24.545999999999999"/>
        <n v="5.2229999999999999"/>
        <n v="8.4719999999999995"/>
        <n v="49.988999999999997"/>
        <n v="47.106999999999999"/>
        <n v="33.027999999999999"/>
        <n v="142.535"/>
        <n v="247.994"/>
        <n v="63.848999999999997"/>
        <n v="33.268999999999998"/>
        <n v="84.087000000000003"/>
        <n v="65.119"/>
        <n v="25.106000000000002"/>
        <n v="68.411000000000001"/>
        <n v="9.8350000000000009"/>
        <n v="9.7609999999999992"/>
        <n v="83.721000000000004"/>
        <n v="51.101999999999997"/>
        <n v="9.5690000000000008"/>
        <n v="5.5960000000000001"/>
        <n v="49.463000000000001"/>
        <n v="16.957000000000001"/>
        <n v="3.5449999999999999"/>
        <n v="15.244999999999999"/>
        <n v="17.530999999999999"/>
        <n v="3.4929999999999999"/>
        <n v="18.969000000000001"/>
        <m/>
      </sharedItems>
    </cacheField>
    <cacheField name="__year_resale_value" numFmtId="0">
      <sharedItems containsString="0" containsBlank="1" containsNumber="1" minValue="5.16" maxValue="67.55"/>
    </cacheField>
    <cacheField name="Vehicle_type" numFmtId="0">
      <sharedItems containsBlank="1" count="3">
        <s v="Passenger"/>
        <s v="Car"/>
        <m/>
      </sharedItems>
    </cacheField>
    <cacheField name="Price_in_thousands" numFmtId="0">
      <sharedItems containsString="0" containsBlank="1" containsNumber="1" minValue="9.2349999999999994" maxValue="85.5"/>
    </cacheField>
    <cacheField name="Engine_size" numFmtId="0">
      <sharedItems containsString="0" containsBlank="1" containsNumber="1" minValue="1" maxValue="8"/>
    </cacheField>
    <cacheField name="Horsepower" numFmtId="0">
      <sharedItems containsString="0" containsBlank="1" containsNumber="1" containsInteger="1" minValue="55" maxValue="450"/>
    </cacheField>
    <cacheField name="Wheelbase" numFmtId="0">
      <sharedItems containsString="0" containsBlank="1" containsNumber="1" minValue="92.6" maxValue="138.6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x v="0"/>
    <x v="0"/>
    <n v="16.36"/>
    <x v="0"/>
    <n v="21.5"/>
    <n v="1.8"/>
    <n v="140"/>
    <n v="101.2"/>
  </r>
  <r>
    <x v="0"/>
    <x v="1"/>
    <x v="1"/>
    <n v="19.875"/>
    <x v="0"/>
    <n v="28.4"/>
    <n v="3.2"/>
    <n v="225"/>
    <n v="108.1"/>
  </r>
  <r>
    <x v="0"/>
    <x v="2"/>
    <x v="2"/>
    <n v="18.225000000000001"/>
    <x v="0"/>
    <m/>
    <n v="3.2"/>
    <n v="225"/>
    <n v="106.9"/>
  </r>
  <r>
    <x v="0"/>
    <x v="3"/>
    <x v="3"/>
    <n v="29.725000000000001"/>
    <x v="0"/>
    <n v="42"/>
    <n v="3.5"/>
    <n v="210"/>
    <n v="114.6"/>
  </r>
  <r>
    <x v="1"/>
    <x v="4"/>
    <x v="4"/>
    <n v="22.254999999999999"/>
    <x v="0"/>
    <n v="23.99"/>
    <n v="1.8"/>
    <n v="150"/>
    <n v="102.6"/>
  </r>
  <r>
    <x v="1"/>
    <x v="5"/>
    <x v="5"/>
    <n v="23.555"/>
    <x v="0"/>
    <n v="33.950000000000003"/>
    <n v="2.8"/>
    <n v="200"/>
    <n v="108.7"/>
  </r>
  <r>
    <x v="1"/>
    <x v="6"/>
    <x v="6"/>
    <n v="39"/>
    <x v="0"/>
    <n v="62"/>
    <n v="4.2"/>
    <n v="310"/>
    <n v="113"/>
  </r>
  <r>
    <x v="2"/>
    <x v="7"/>
    <x v="7"/>
    <m/>
    <x v="0"/>
    <n v="26.99"/>
    <n v="2.5"/>
    <n v="170"/>
    <n v="107.3"/>
  </r>
  <r>
    <x v="2"/>
    <x v="8"/>
    <x v="8"/>
    <n v="28.675000000000001"/>
    <x v="0"/>
    <n v="33.4"/>
    <n v="2.8"/>
    <n v="193"/>
    <n v="107.3"/>
  </r>
  <r>
    <x v="2"/>
    <x v="9"/>
    <x v="9"/>
    <n v="36.125"/>
    <x v="0"/>
    <n v="38.9"/>
    <n v="2.8"/>
    <n v="193"/>
    <n v="111.4"/>
  </r>
  <r>
    <x v="3"/>
    <x v="10"/>
    <x v="10"/>
    <n v="12.475"/>
    <x v="0"/>
    <n v="21.975000000000001"/>
    <n v="3.1"/>
    <n v="175"/>
    <n v="109"/>
  </r>
  <r>
    <x v="3"/>
    <x v="11"/>
    <x v="11"/>
    <n v="13.74"/>
    <x v="0"/>
    <n v="25.3"/>
    <n v="3.8"/>
    <n v="240"/>
    <n v="109"/>
  </r>
  <r>
    <x v="3"/>
    <x v="12"/>
    <x v="12"/>
    <n v="20.190000000000001"/>
    <x v="0"/>
    <n v="31.965"/>
    <n v="3.8"/>
    <n v="205"/>
    <n v="113.8"/>
  </r>
  <r>
    <x v="3"/>
    <x v="13"/>
    <x v="13"/>
    <n v="13.36"/>
    <x v="0"/>
    <n v="27.885000000000002"/>
    <n v="3.8"/>
    <n v="205"/>
    <n v="112.2"/>
  </r>
  <r>
    <x v="4"/>
    <x v="14"/>
    <x v="14"/>
    <n v="22.524999999999999"/>
    <x v="0"/>
    <n v="39.895000000000003"/>
    <n v="4.5999999999999996"/>
    <n v="275"/>
    <n v="115.3"/>
  </r>
  <r>
    <x v="4"/>
    <x v="15"/>
    <x v="15"/>
    <n v="27.1"/>
    <x v="0"/>
    <n v="44.475000000000001"/>
    <n v="4.5999999999999996"/>
    <n v="275"/>
    <n v="112.2"/>
  </r>
  <r>
    <x v="4"/>
    <x v="16"/>
    <x v="16"/>
    <n v="25.725000000000001"/>
    <x v="0"/>
    <n v="39.664999999999999"/>
    <n v="4.5999999999999996"/>
    <n v="275"/>
    <n v="108"/>
  </r>
  <r>
    <x v="4"/>
    <x v="17"/>
    <x v="17"/>
    <n v="18.225000000000001"/>
    <x v="0"/>
    <n v="31.01"/>
    <n v="3"/>
    <n v="200"/>
    <n v="107.4"/>
  </r>
  <r>
    <x v="4"/>
    <x v="18"/>
    <x v="18"/>
    <m/>
    <x v="1"/>
    <n v="46.225000000000001"/>
    <n v="5.7"/>
    <n v="255"/>
    <n v="117.5"/>
  </r>
  <r>
    <x v="5"/>
    <x v="19"/>
    <x v="19"/>
    <n v="9.25"/>
    <x v="0"/>
    <n v="13.26"/>
    <n v="2.2000000000000002"/>
    <n v="115"/>
    <n v="104.1"/>
  </r>
  <r>
    <x v="5"/>
    <x v="20"/>
    <x v="20"/>
    <n v="11.225"/>
    <x v="0"/>
    <n v="16.535"/>
    <n v="3.1"/>
    <n v="170"/>
    <n v="107"/>
  </r>
  <r>
    <x v="5"/>
    <x v="21"/>
    <x v="21"/>
    <n v="10.31"/>
    <x v="0"/>
    <n v="18.89"/>
    <n v="3.1"/>
    <n v="175"/>
    <n v="107.5"/>
  </r>
  <r>
    <x v="5"/>
    <x v="22"/>
    <x v="22"/>
    <n v="11.525"/>
    <x v="0"/>
    <n v="19.39"/>
    <n v="3.4"/>
    <n v="180"/>
    <n v="110.5"/>
  </r>
  <r>
    <x v="5"/>
    <x v="23"/>
    <x v="23"/>
    <n v="13.025"/>
    <x v="0"/>
    <n v="24.34"/>
    <n v="3.8"/>
    <n v="200"/>
    <n v="101.1"/>
  </r>
  <r>
    <x v="5"/>
    <x v="24"/>
    <x v="24"/>
    <n v="36.225000000000001"/>
    <x v="0"/>
    <n v="45.704999999999998"/>
    <n v="5.7"/>
    <n v="345"/>
    <n v="104.5"/>
  </r>
  <r>
    <x v="5"/>
    <x v="25"/>
    <x v="25"/>
    <n v="9.125"/>
    <x v="0"/>
    <n v="13.96"/>
    <n v="1.8"/>
    <n v="120"/>
    <n v="97.1"/>
  </r>
  <r>
    <x v="5"/>
    <x v="26"/>
    <x v="26"/>
    <n v="5.16"/>
    <x v="0"/>
    <n v="9.2349999999999994"/>
    <n v="1"/>
    <n v="55"/>
    <n v="93.1"/>
  </r>
  <r>
    <x v="5"/>
    <x v="27"/>
    <x v="27"/>
    <m/>
    <x v="0"/>
    <n v="18.89"/>
    <n v="3.4"/>
    <n v="180"/>
    <n v="110.5"/>
  </r>
  <r>
    <x v="6"/>
    <x v="28"/>
    <x v="28"/>
    <n v="12.36"/>
    <x v="0"/>
    <n v="19.84"/>
    <n v="2.5"/>
    <n v="163"/>
    <n v="103.7"/>
  </r>
  <r>
    <x v="6"/>
    <x v="29"/>
    <x v="29"/>
    <n v="14.18"/>
    <x v="0"/>
    <n v="24.495000000000001"/>
    <n v="2.5"/>
    <n v="168"/>
    <n v="106"/>
  </r>
  <r>
    <x v="6"/>
    <x v="30"/>
    <x v="30"/>
    <n v="13.725"/>
    <x v="0"/>
    <n v="22.245000000000001"/>
    <n v="2.7"/>
    <n v="200"/>
    <n v="113"/>
  </r>
  <r>
    <x v="6"/>
    <x v="31"/>
    <x v="31"/>
    <n v="12.64"/>
    <x v="0"/>
    <n v="16.48"/>
    <n v="2"/>
    <n v="132"/>
    <n v="108"/>
  </r>
  <r>
    <x v="6"/>
    <x v="32"/>
    <x v="32"/>
    <n v="17.324999999999999"/>
    <x v="0"/>
    <n v="28.34"/>
    <n v="3.5"/>
    <n v="253"/>
    <n v="113"/>
  </r>
  <r>
    <x v="6"/>
    <x v="33"/>
    <x v="33"/>
    <n v="19.54"/>
    <x v="1"/>
    <m/>
    <m/>
    <m/>
    <m/>
  </r>
  <r>
    <x v="6"/>
    <x v="34"/>
    <x v="34"/>
    <m/>
    <x v="0"/>
    <n v="29.184999999999999"/>
    <n v="3.5"/>
    <n v="253"/>
    <n v="113"/>
  </r>
  <r>
    <x v="7"/>
    <x v="35"/>
    <x v="35"/>
    <n v="7.75"/>
    <x v="0"/>
    <n v="12.64"/>
    <n v="2"/>
    <n v="132"/>
    <n v="105"/>
  </r>
  <r>
    <x v="7"/>
    <x v="36"/>
    <x v="36"/>
    <n v="12.545"/>
    <x v="0"/>
    <n v="19.045000000000002"/>
    <n v="2.5"/>
    <n v="163"/>
    <n v="103.7"/>
  </r>
  <r>
    <x v="7"/>
    <x v="37"/>
    <x v="37"/>
    <n v="10.185"/>
    <x v="0"/>
    <n v="20.23"/>
    <n v="2.5"/>
    <n v="168"/>
    <n v="108"/>
  </r>
  <r>
    <x v="7"/>
    <x v="38"/>
    <x v="38"/>
    <n v="12.275"/>
    <x v="0"/>
    <n v="22.504999999999999"/>
    <n v="2.7"/>
    <n v="202"/>
    <n v="113"/>
  </r>
  <r>
    <x v="7"/>
    <x v="39"/>
    <x v="39"/>
    <n v="58.47"/>
    <x v="0"/>
    <n v="69.724999999999994"/>
    <n v="8"/>
    <n v="450"/>
    <n v="96.2"/>
  </r>
  <r>
    <x v="7"/>
    <x v="40"/>
    <x v="40"/>
    <n v="15.06"/>
    <x v="1"/>
    <n v="19.46"/>
    <n v="5.2"/>
    <n v="230"/>
    <n v="138.69999999999999"/>
  </r>
  <r>
    <x v="7"/>
    <x v="41"/>
    <x v="41"/>
    <n v="15.51"/>
    <x v="1"/>
    <n v="21.315000000000001"/>
    <n v="3.9"/>
    <n v="175"/>
    <n v="109.6"/>
  </r>
  <r>
    <x v="7"/>
    <x v="42"/>
    <x v="42"/>
    <n v="13.425000000000001"/>
    <x v="1"/>
    <n v="18.574999999999999"/>
    <n v="3.9"/>
    <n v="175"/>
    <n v="127.2"/>
  </r>
  <r>
    <x v="7"/>
    <x v="43"/>
    <x v="43"/>
    <n v="11.26"/>
    <x v="1"/>
    <n v="16.98"/>
    <n v="2.5"/>
    <n v="120"/>
    <n v="131"/>
  </r>
  <r>
    <x v="7"/>
    <x v="44"/>
    <x v="44"/>
    <m/>
    <x v="1"/>
    <n v="26.31"/>
    <n v="5.2"/>
    <n v="230"/>
    <n v="115.7"/>
  </r>
  <r>
    <x v="7"/>
    <x v="45"/>
    <x v="45"/>
    <n v="12.025"/>
    <x v="1"/>
    <n v="19.565000000000001"/>
    <n v="2.4"/>
    <n v="150"/>
    <n v="113.3"/>
  </r>
  <r>
    <x v="8"/>
    <x v="46"/>
    <x v="46"/>
    <n v="7.4249999999999998"/>
    <x v="0"/>
    <n v="12.07"/>
    <n v="2"/>
    <n v="110"/>
    <n v="98.4"/>
  </r>
  <r>
    <x v="8"/>
    <x v="47"/>
    <x v="47"/>
    <n v="12.76"/>
    <x v="0"/>
    <n v="21.56"/>
    <n v="3.8"/>
    <n v="190"/>
    <n v="101.3"/>
  </r>
  <r>
    <x v="8"/>
    <x v="48"/>
    <x v="48"/>
    <n v="8.8350000000000009"/>
    <x v="0"/>
    <n v="17.035"/>
    <n v="2.5"/>
    <n v="170"/>
    <n v="106.5"/>
  </r>
  <r>
    <x v="8"/>
    <x v="49"/>
    <x v="49"/>
    <n v="10.055"/>
    <x v="0"/>
    <n v="17.885000000000002"/>
    <n v="3"/>
    <n v="155"/>
    <n v="108.5"/>
  </r>
  <r>
    <x v="8"/>
    <x v="50"/>
    <x v="50"/>
    <m/>
    <x v="0"/>
    <n v="12.315"/>
    <n v="2"/>
    <n v="107"/>
    <n v="103"/>
  </r>
  <r>
    <x v="8"/>
    <x v="51"/>
    <x v="51"/>
    <n v="14.21"/>
    <x v="0"/>
    <n v="22.195"/>
    <n v="4.5999999999999996"/>
    <n v="200"/>
    <n v="114.7"/>
  </r>
  <r>
    <x v="8"/>
    <x v="52"/>
    <x v="52"/>
    <n v="16.64"/>
    <x v="1"/>
    <n v="31.93"/>
    <n v="4"/>
    <n v="210"/>
    <n v="111.6"/>
  </r>
  <r>
    <x v="8"/>
    <x v="53"/>
    <x v="53"/>
    <n v="13.175000000000001"/>
    <x v="1"/>
    <n v="21.41"/>
    <n v="3"/>
    <n v="150"/>
    <n v="120.7"/>
  </r>
  <r>
    <x v="8"/>
    <x v="54"/>
    <x v="54"/>
    <n v="23.574999999999999"/>
    <x v="1"/>
    <n v="36.134999999999998"/>
    <n v="4.5999999999999996"/>
    <n v="240"/>
    <n v="119"/>
  </r>
  <r>
    <x v="8"/>
    <x v="55"/>
    <x v="55"/>
    <n v="7.85"/>
    <x v="1"/>
    <n v="12.05"/>
    <n v="2.5"/>
    <n v="119"/>
    <n v="117.5"/>
  </r>
  <r>
    <x v="8"/>
    <x v="56"/>
    <x v="56"/>
    <n v="15.074999999999999"/>
    <x v="1"/>
    <n v="26.934999999999999"/>
    <n v="4.5999999999999996"/>
    <n v="220"/>
    <n v="138.5"/>
  </r>
  <r>
    <x v="9"/>
    <x v="57"/>
    <x v="57"/>
    <n v="9.85"/>
    <x v="0"/>
    <n v="12.885"/>
    <n v="1.6"/>
    <n v="106"/>
    <n v="103.2"/>
  </r>
  <r>
    <x v="9"/>
    <x v="58"/>
    <x v="58"/>
    <n v="13.21"/>
    <x v="0"/>
    <n v="15.35"/>
    <n v="2.2999999999999998"/>
    <n v="135"/>
    <n v="106.9"/>
  </r>
  <r>
    <x v="9"/>
    <x v="59"/>
    <x v="59"/>
    <n v="17.71"/>
    <x v="1"/>
    <n v="20.55"/>
    <n v="2"/>
    <n v="146"/>
    <n v="103.2"/>
  </r>
  <r>
    <x v="9"/>
    <x v="60"/>
    <x v="60"/>
    <n v="17.524999999999999"/>
    <x v="1"/>
    <n v="26.6"/>
    <n v="3.2"/>
    <n v="205"/>
    <n v="106.4"/>
  </r>
  <r>
    <x v="9"/>
    <x v="61"/>
    <x v="61"/>
    <n v="19.489999999999998"/>
    <x v="1"/>
    <n v="26"/>
    <n v="3.5"/>
    <n v="210"/>
    <n v="118.1"/>
  </r>
  <r>
    <x v="10"/>
    <x v="62"/>
    <x v="62"/>
    <n v="5.86"/>
    <x v="0"/>
    <n v="9.6989999999999998"/>
    <n v="1.5"/>
    <n v="92"/>
    <n v="96.1"/>
  </r>
  <r>
    <x v="10"/>
    <x v="63"/>
    <x v="63"/>
    <n v="7.8250000000000002"/>
    <x v="0"/>
    <n v="11.798999999999999"/>
    <n v="2"/>
    <n v="140"/>
    <n v="100.4"/>
  </r>
  <r>
    <x v="10"/>
    <x v="64"/>
    <x v="64"/>
    <n v="8.91"/>
    <x v="0"/>
    <n v="14.999000000000001"/>
    <n v="2.4"/>
    <n v="148"/>
    <n v="106.3"/>
  </r>
  <r>
    <x v="11"/>
    <x v="65"/>
    <x v="65"/>
    <n v="19.690000000000001"/>
    <x v="0"/>
    <n v="29.465"/>
    <n v="3"/>
    <n v="227"/>
    <n v="108.3"/>
  </r>
  <r>
    <x v="12"/>
    <x v="66"/>
    <x v="66"/>
    <m/>
    <x v="0"/>
    <n v="42.8"/>
    <n v="3"/>
    <n v="240"/>
    <n v="114.5"/>
  </r>
  <r>
    <x v="13"/>
    <x v="67"/>
    <x v="67"/>
    <n v="13.475"/>
    <x v="1"/>
    <n v="14.46"/>
    <n v="2.5"/>
    <n v="120"/>
    <n v="93.4"/>
  </r>
  <r>
    <x v="13"/>
    <x v="68"/>
    <x v="68"/>
    <n v="13.775"/>
    <x v="1"/>
    <n v="21.62"/>
    <n v="4"/>
    <n v="190"/>
    <n v="101.4"/>
  </r>
  <r>
    <x v="13"/>
    <x v="69"/>
    <x v="69"/>
    <n v="18.809999999999999"/>
    <x v="1"/>
    <n v="26.895"/>
    <n v="4"/>
    <n v="195"/>
    <n v="105.9"/>
  </r>
  <r>
    <x v="14"/>
    <x v="70"/>
    <x v="70"/>
    <n v="26.975000000000001"/>
    <x v="0"/>
    <n v="31.504999999999999"/>
    <n v="3"/>
    <n v="210"/>
    <n v="105.1"/>
  </r>
  <r>
    <x v="14"/>
    <x v="71"/>
    <x v="71"/>
    <n v="32.075000000000003"/>
    <x v="0"/>
    <n v="37.805"/>
    <n v="3"/>
    <n v="225"/>
    <n v="110.2"/>
  </r>
  <r>
    <x v="14"/>
    <x v="72"/>
    <x v="72"/>
    <m/>
    <x v="0"/>
    <n v="46.305"/>
    <n v="4"/>
    <n v="300"/>
    <n v="110.2"/>
  </r>
  <r>
    <x v="14"/>
    <x v="73"/>
    <x v="73"/>
    <n v="40.375"/>
    <x v="0"/>
    <n v="54.005000000000003"/>
    <n v="4"/>
    <n v="290"/>
    <n v="112.2"/>
  </r>
  <r>
    <x v="14"/>
    <x v="74"/>
    <x v="74"/>
    <m/>
    <x v="1"/>
    <n v="60.104999999999997"/>
    <n v="4.7"/>
    <n v="230"/>
    <n v="112.2"/>
  </r>
  <r>
    <x v="14"/>
    <x v="75"/>
    <x v="75"/>
    <m/>
    <x v="1"/>
    <n v="34.604999999999997"/>
    <n v="3"/>
    <n v="220"/>
    <n v="103"/>
  </r>
  <r>
    <x v="15"/>
    <x v="76"/>
    <x v="76"/>
    <n v="20.524999999999999"/>
    <x v="0"/>
    <n v="39.08"/>
    <n v="4.5999999999999996"/>
    <n v="275"/>
    <n v="109"/>
  </r>
  <r>
    <x v="15"/>
    <x v="77"/>
    <x v="77"/>
    <n v="21.725000000000001"/>
    <x v="0"/>
    <n v="43.33"/>
    <n v="4.5999999999999996"/>
    <n v="215"/>
    <n v="117.7"/>
  </r>
  <r>
    <x v="15"/>
    <x v="78"/>
    <x v="78"/>
    <m/>
    <x v="1"/>
    <n v="42.66"/>
    <n v="5.4"/>
    <n v="300"/>
    <n v="119"/>
  </r>
  <r>
    <x v="16"/>
    <x v="79"/>
    <x v="79"/>
    <n v="8.3249999999999993"/>
    <x v="0"/>
    <n v="13.987"/>
    <n v="1.8"/>
    <n v="113"/>
    <n v="98.4"/>
  </r>
  <r>
    <x v="16"/>
    <x v="80"/>
    <x v="80"/>
    <n v="10.395"/>
    <x v="0"/>
    <n v="19.047000000000001"/>
    <n v="2.4"/>
    <n v="154"/>
    <n v="100.8"/>
  </r>
  <r>
    <x v="16"/>
    <x v="81"/>
    <x v="81"/>
    <n v="10.595000000000001"/>
    <x v="0"/>
    <n v="17.356999999999999"/>
    <n v="2.4"/>
    <n v="145"/>
    <n v="103.7"/>
  </r>
  <r>
    <x v="16"/>
    <x v="82"/>
    <x v="82"/>
    <n v="16.574999999999999"/>
    <x v="0"/>
    <n v="24.997"/>
    <n v="3.5"/>
    <n v="210"/>
    <n v="107.1"/>
  </r>
  <r>
    <x v="16"/>
    <x v="83"/>
    <x v="83"/>
    <n v="20.94"/>
    <x v="0"/>
    <n v="25.45"/>
    <n v="3"/>
    <n v="161"/>
    <n v="97.2"/>
  </r>
  <r>
    <x v="16"/>
    <x v="84"/>
    <x v="84"/>
    <n v="19.125"/>
    <x v="1"/>
    <n v="31.806999999999999"/>
    <n v="3.5"/>
    <n v="200"/>
    <n v="107.3"/>
  </r>
  <r>
    <x v="16"/>
    <x v="85"/>
    <x v="85"/>
    <n v="13.88"/>
    <x v="1"/>
    <n v="22.527000000000001"/>
    <n v="3"/>
    <n v="173"/>
    <n v="107.3"/>
  </r>
  <r>
    <x v="17"/>
    <x v="86"/>
    <x v="86"/>
    <n v="8.8000000000000007"/>
    <x v="0"/>
    <n v="16.239999999999998"/>
    <n v="2"/>
    <n v="125"/>
    <n v="106.5"/>
  </r>
  <r>
    <x v="17"/>
    <x v="87"/>
    <x v="87"/>
    <n v="13.89"/>
    <x v="0"/>
    <n v="16.54"/>
    <n v="2"/>
    <n v="125"/>
    <n v="106.4"/>
  </r>
  <r>
    <x v="17"/>
    <x v="88"/>
    <x v="88"/>
    <n v="11.03"/>
    <x v="0"/>
    <n v="19.035"/>
    <n v="3"/>
    <n v="153"/>
    <n v="108.5"/>
  </r>
  <r>
    <x v="17"/>
    <x v="89"/>
    <x v="89"/>
    <n v="14.875"/>
    <x v="0"/>
    <n v="22.605"/>
    <n v="4.5999999999999996"/>
    <n v="200"/>
    <n v="114.7"/>
  </r>
  <r>
    <x v="17"/>
    <x v="90"/>
    <x v="90"/>
    <n v="20.43"/>
    <x v="1"/>
    <n v="27.56"/>
    <n v="4"/>
    <n v="210"/>
    <n v="111.6"/>
  </r>
  <r>
    <x v="17"/>
    <x v="91"/>
    <x v="91"/>
    <n v="14.795"/>
    <x v="1"/>
    <n v="22.51"/>
    <n v="3.3"/>
    <n v="170"/>
    <n v="112.2"/>
  </r>
  <r>
    <x v="18"/>
    <x v="92"/>
    <x v="92"/>
    <n v="26.05"/>
    <x v="0"/>
    <n v="31.75"/>
    <n v="2.2999999999999998"/>
    <n v="185"/>
    <n v="105.9"/>
  </r>
  <r>
    <x v="18"/>
    <x v="93"/>
    <x v="93"/>
    <n v="41.45"/>
    <x v="0"/>
    <n v="49.9"/>
    <n v="3.2"/>
    <n v="221"/>
    <n v="111.5"/>
  </r>
  <r>
    <x v="18"/>
    <x v="94"/>
    <x v="94"/>
    <n v="50.375"/>
    <x v="0"/>
    <n v="69.7"/>
    <n v="4.3"/>
    <n v="275"/>
    <n v="121.5"/>
  </r>
  <r>
    <x v="18"/>
    <x v="95"/>
    <x v="95"/>
    <n v="58.6"/>
    <x v="0"/>
    <n v="82.6"/>
    <n v="5"/>
    <n v="302"/>
    <n v="99"/>
  </r>
  <r>
    <x v="18"/>
    <x v="96"/>
    <x v="96"/>
    <m/>
    <x v="0"/>
    <n v="38.9"/>
    <n v="2.2999999999999998"/>
    <n v="190"/>
    <n v="94.5"/>
  </r>
  <r>
    <x v="18"/>
    <x v="97"/>
    <x v="97"/>
    <m/>
    <x v="0"/>
    <n v="41"/>
    <n v="2.2999999999999998"/>
    <n v="185"/>
    <n v="94.5"/>
  </r>
  <r>
    <x v="18"/>
    <x v="98"/>
    <x v="98"/>
    <m/>
    <x v="0"/>
    <n v="41.6"/>
    <n v="3.2"/>
    <n v="215"/>
    <n v="105.9"/>
  </r>
  <r>
    <x v="18"/>
    <x v="99"/>
    <x v="99"/>
    <m/>
    <x v="0"/>
    <n v="85.5"/>
    <n v="5"/>
    <n v="302"/>
    <n v="113.6"/>
  </r>
  <r>
    <x v="18"/>
    <x v="100"/>
    <x v="100"/>
    <m/>
    <x v="1"/>
    <n v="35.299999999999997"/>
    <n v="3.2"/>
    <n v="215"/>
    <n v="111"/>
  </r>
  <r>
    <x v="19"/>
    <x v="101"/>
    <x v="101"/>
    <n v="8.4499999999999993"/>
    <x v="0"/>
    <n v="13.499000000000001"/>
    <n v="1.8"/>
    <n v="126"/>
    <n v="99.8"/>
  </r>
  <r>
    <x v="19"/>
    <x v="102"/>
    <x v="102"/>
    <n v="11.295"/>
    <x v="0"/>
    <n v="20.39"/>
    <n v="2.4"/>
    <n v="155"/>
    <n v="103.1"/>
  </r>
  <r>
    <x v="19"/>
    <x v="103"/>
    <x v="103"/>
    <n v="15.125"/>
    <x v="0"/>
    <n v="26.248999999999999"/>
    <n v="3"/>
    <n v="222"/>
    <n v="108.3"/>
  </r>
  <r>
    <x v="19"/>
    <x v="104"/>
    <x v="104"/>
    <n v="15.38"/>
    <x v="1"/>
    <n v="26.399000000000001"/>
    <n v="3.3"/>
    <n v="170"/>
    <n v="112.2"/>
  </r>
  <r>
    <x v="19"/>
    <x v="105"/>
    <x v="105"/>
    <n v="17.809999999999999"/>
    <x v="1"/>
    <n v="29.298999999999999"/>
    <n v="3.3"/>
    <n v="170"/>
    <n v="106.3"/>
  </r>
  <r>
    <x v="19"/>
    <x v="106"/>
    <x v="106"/>
    <m/>
    <x v="1"/>
    <n v="22.798999999999999"/>
    <n v="3.3"/>
    <n v="170"/>
    <n v="104.3"/>
  </r>
  <r>
    <x v="19"/>
    <x v="107"/>
    <x v="107"/>
    <m/>
    <x v="1"/>
    <n v="17.89"/>
    <n v="3.3"/>
    <n v="170"/>
    <n v="116.1"/>
  </r>
  <r>
    <x v="20"/>
    <x v="108"/>
    <x v="108"/>
    <n v="11.24"/>
    <x v="0"/>
    <n v="18.145"/>
    <n v="3.1"/>
    <n v="150"/>
    <n v="107"/>
  </r>
  <r>
    <x v="20"/>
    <x v="109"/>
    <x v="109"/>
    <m/>
    <x v="0"/>
    <n v="24.15"/>
    <n v="3.5"/>
    <n v="215"/>
    <n v="109"/>
  </r>
  <r>
    <x v="20"/>
    <x v="110"/>
    <x v="110"/>
    <m/>
    <x v="0"/>
    <n v="18.27"/>
    <n v="2.4"/>
    <n v="150"/>
    <n v="107"/>
  </r>
  <r>
    <x v="20"/>
    <x v="111"/>
    <x v="111"/>
    <n v="19.89"/>
    <x v="0"/>
    <n v="36.228999999999999"/>
    <n v="4"/>
    <n v="250"/>
    <n v="113.8"/>
  </r>
  <r>
    <x v="20"/>
    <x v="112"/>
    <x v="112"/>
    <n v="19.925000000000001"/>
    <x v="1"/>
    <n v="31.597999999999999"/>
    <n v="4.3"/>
    <n v="190"/>
    <n v="107"/>
  </r>
  <r>
    <x v="20"/>
    <x v="113"/>
    <x v="113"/>
    <n v="15.24"/>
    <x v="1"/>
    <n v="25.344999999999999"/>
    <n v="3.4"/>
    <n v="185"/>
    <n v="120"/>
  </r>
  <r>
    <x v="21"/>
    <x v="35"/>
    <x v="114"/>
    <n v="7.75"/>
    <x v="0"/>
    <n v="12.64"/>
    <n v="2"/>
    <n v="132"/>
    <n v="105"/>
  </r>
  <r>
    <x v="21"/>
    <x v="114"/>
    <x v="115"/>
    <n v="9.8000000000000007"/>
    <x v="0"/>
    <n v="16.079999999999998"/>
    <n v="2"/>
    <n v="132"/>
    <n v="108"/>
  </r>
  <r>
    <x v="21"/>
    <x v="115"/>
    <x v="116"/>
    <n v="12.025"/>
    <x v="1"/>
    <n v="18.850000000000001"/>
    <n v="2.4"/>
    <n v="150"/>
    <n v="113.3"/>
  </r>
  <r>
    <x v="21"/>
    <x v="116"/>
    <x v="117"/>
    <m/>
    <x v="0"/>
    <n v="43"/>
    <n v="3.5"/>
    <n v="253"/>
    <n v="113.3"/>
  </r>
  <r>
    <x v="22"/>
    <x v="117"/>
    <x v="118"/>
    <n v="13.79"/>
    <x v="0"/>
    <n v="21.61"/>
    <n v="2.4"/>
    <n v="150"/>
    <n v="104.1"/>
  </r>
  <r>
    <x v="22"/>
    <x v="118"/>
    <x v="119"/>
    <n v="10.29"/>
    <x v="0"/>
    <n v="19.72"/>
    <n v="3.4"/>
    <n v="175"/>
    <n v="107"/>
  </r>
  <r>
    <x v="22"/>
    <x v="119"/>
    <x v="120"/>
    <n v="17.805"/>
    <x v="0"/>
    <n v="25.31"/>
    <n v="3.8"/>
    <n v="200"/>
    <n v="101.1"/>
  </r>
  <r>
    <x v="22"/>
    <x v="120"/>
    <x v="121"/>
    <n v="14.01"/>
    <x v="0"/>
    <n v="21.664999999999999"/>
    <n v="3.8"/>
    <n v="195"/>
    <n v="110.5"/>
  </r>
  <r>
    <x v="22"/>
    <x v="121"/>
    <x v="122"/>
    <n v="13.225"/>
    <x v="0"/>
    <n v="23.754999999999999"/>
    <n v="3.8"/>
    <n v="205"/>
    <n v="112.2"/>
  </r>
  <r>
    <x v="22"/>
    <x v="122"/>
    <x v="123"/>
    <m/>
    <x v="1"/>
    <n v="25.635000000000002"/>
    <n v="3.4"/>
    <n v="185"/>
    <n v="120"/>
  </r>
  <r>
    <x v="23"/>
    <x v="123"/>
    <x v="124"/>
    <n v="41.25"/>
    <x v="0"/>
    <n v="41.43"/>
    <n v="2.7"/>
    <n v="217"/>
    <n v="95.2"/>
  </r>
  <r>
    <x v="23"/>
    <x v="124"/>
    <x v="125"/>
    <n v="60.625"/>
    <x v="0"/>
    <n v="71.02"/>
    <n v="3.4"/>
    <n v="300"/>
    <n v="92.6"/>
  </r>
  <r>
    <x v="23"/>
    <x v="125"/>
    <x v="126"/>
    <n v="67.55"/>
    <x v="0"/>
    <n v="74.97"/>
    <n v="3.4"/>
    <n v="300"/>
    <n v="92.6"/>
  </r>
  <r>
    <x v="24"/>
    <x v="126"/>
    <x v="127"/>
    <m/>
    <x v="0"/>
    <n v="33.119999999999997"/>
    <n v="2.2999999999999998"/>
    <n v="170"/>
    <n v="106.4"/>
  </r>
  <r>
    <x v="24"/>
    <x v="127"/>
    <x v="128"/>
    <m/>
    <x v="0"/>
    <n v="26.1"/>
    <n v="2"/>
    <n v="185"/>
    <n v="102.6"/>
  </r>
  <r>
    <x v="25"/>
    <x v="128"/>
    <x v="129"/>
    <n v="9.1999999999999993"/>
    <x v="0"/>
    <n v="10.685"/>
    <n v="1.9"/>
    <n v="100"/>
    <n v="102.4"/>
  </r>
  <r>
    <x v="25"/>
    <x v="129"/>
    <x v="130"/>
    <n v="10.59"/>
    <x v="0"/>
    <n v="12.535"/>
    <n v="1.9"/>
    <n v="100"/>
    <n v="102.4"/>
  </r>
  <r>
    <x v="25"/>
    <x v="130"/>
    <x v="131"/>
    <n v="10.79"/>
    <x v="0"/>
    <n v="14.29"/>
    <n v="1.9"/>
    <n v="124"/>
    <n v="102.4"/>
  </r>
  <r>
    <x v="25"/>
    <x v="131"/>
    <x v="132"/>
    <m/>
    <x v="0"/>
    <n v="18.835000000000001"/>
    <n v="2.2000000000000002"/>
    <n v="137"/>
    <n v="106.5"/>
  </r>
  <r>
    <x v="25"/>
    <x v="132"/>
    <x v="133"/>
    <m/>
    <x v="0"/>
    <n v="15.01"/>
    <n v="2.2000000000000002"/>
    <n v="137"/>
    <n v="106.5"/>
  </r>
  <r>
    <x v="26"/>
    <x v="133"/>
    <x v="134"/>
    <m/>
    <x v="0"/>
    <n v="22.695"/>
    <n v="2.5"/>
    <n v="165"/>
    <n v="103.5"/>
  </r>
  <r>
    <x v="26"/>
    <x v="134"/>
    <x v="135"/>
    <m/>
    <x v="1"/>
    <n v="20.094999999999999"/>
    <n v="2.5"/>
    <n v="165"/>
    <n v="99.4"/>
  </r>
  <r>
    <x v="27"/>
    <x v="135"/>
    <x v="136"/>
    <n v="10.025"/>
    <x v="0"/>
    <n v="13.108000000000001"/>
    <n v="1.8"/>
    <n v="120"/>
    <n v="97"/>
  </r>
  <r>
    <x v="27"/>
    <x v="136"/>
    <x v="137"/>
    <n v="13.244999999999999"/>
    <x v="0"/>
    <n v="17.518000000000001"/>
    <n v="2.2000000000000002"/>
    <n v="133"/>
    <n v="105.2"/>
  </r>
  <r>
    <x v="27"/>
    <x v="137"/>
    <x v="138"/>
    <n v="18.14"/>
    <x v="0"/>
    <n v="25.545000000000002"/>
    <n v="3"/>
    <n v="210"/>
    <n v="107.1"/>
  </r>
  <r>
    <x v="27"/>
    <x v="138"/>
    <x v="139"/>
    <n v="15.445"/>
    <x v="0"/>
    <n v="16.875"/>
    <n v="1.8"/>
    <n v="140"/>
    <n v="102.4"/>
  </r>
  <r>
    <x v="27"/>
    <x v="139"/>
    <x v="140"/>
    <n v="9.5749999999999993"/>
    <x v="1"/>
    <n v="11.528"/>
    <n v="2.4"/>
    <n v="142"/>
    <n v="103.3"/>
  </r>
  <r>
    <x v="27"/>
    <x v="140"/>
    <x v="141"/>
    <m/>
    <x v="1"/>
    <n v="22.367999999999999"/>
    <n v="3"/>
    <n v="194"/>
    <n v="114.2"/>
  </r>
  <r>
    <x v="27"/>
    <x v="141"/>
    <x v="142"/>
    <n v="13.324999999999999"/>
    <x v="1"/>
    <n v="16.888000000000002"/>
    <n v="2"/>
    <n v="127"/>
    <n v="94.9"/>
  </r>
  <r>
    <x v="27"/>
    <x v="142"/>
    <x v="143"/>
    <n v="19.425000000000001"/>
    <x v="1"/>
    <n v="22.288"/>
    <n v="2.7"/>
    <n v="150"/>
    <n v="105.3"/>
  </r>
  <r>
    <x v="27"/>
    <x v="143"/>
    <x v="144"/>
    <n v="34.08"/>
    <x v="1"/>
    <n v="51.728000000000002"/>
    <n v="4.7"/>
    <n v="230"/>
    <n v="112.2"/>
  </r>
  <r>
    <x v="28"/>
    <x v="144"/>
    <x v="145"/>
    <n v="11.425000000000001"/>
    <x v="0"/>
    <n v="14.9"/>
    <n v="2"/>
    <n v="115"/>
    <n v="98.9"/>
  </r>
  <r>
    <x v="28"/>
    <x v="145"/>
    <x v="146"/>
    <n v="13.24"/>
    <x v="0"/>
    <n v="16.7"/>
    <n v="2"/>
    <n v="115"/>
    <n v="98.9"/>
  </r>
  <r>
    <x v="28"/>
    <x v="146"/>
    <x v="147"/>
    <n v="16.725000000000001"/>
    <x v="0"/>
    <n v="21.2"/>
    <n v="1.8"/>
    <n v="150"/>
    <n v="106.4"/>
  </r>
  <r>
    <x v="28"/>
    <x v="147"/>
    <x v="148"/>
    <n v="16.574999999999999"/>
    <x v="0"/>
    <n v="19.989999999999998"/>
    <n v="2"/>
    <n v="115"/>
    <n v="97.4"/>
  </r>
  <r>
    <x v="28"/>
    <x v="148"/>
    <x v="149"/>
    <n v="13.76"/>
    <x v="0"/>
    <n v="17.5"/>
    <n v="2"/>
    <n v="115"/>
    <n v="98.9"/>
  </r>
  <r>
    <x v="28"/>
    <x v="149"/>
    <x v="150"/>
    <m/>
    <x v="0"/>
    <n v="15.9"/>
    <n v="2"/>
    <n v="115"/>
    <n v="98.9"/>
  </r>
  <r>
    <x v="29"/>
    <x v="150"/>
    <x v="151"/>
    <m/>
    <x v="0"/>
    <n v="23.4"/>
    <n v="1.9"/>
    <n v="160"/>
    <n v="100.5"/>
  </r>
  <r>
    <x v="29"/>
    <x v="151"/>
    <x v="152"/>
    <m/>
    <x v="0"/>
    <n v="24.4"/>
    <n v="1.9"/>
    <n v="160"/>
    <n v="100.5"/>
  </r>
  <r>
    <x v="29"/>
    <x v="152"/>
    <x v="153"/>
    <m/>
    <x v="0"/>
    <n v="27.5"/>
    <n v="2.4"/>
    <n v="168"/>
    <n v="104.9"/>
  </r>
  <r>
    <x v="29"/>
    <x v="153"/>
    <x v="154"/>
    <m/>
    <x v="0"/>
    <n v="28.8"/>
    <n v="2.4"/>
    <n v="168"/>
    <n v="104.9"/>
  </r>
  <r>
    <x v="29"/>
    <x v="154"/>
    <x v="155"/>
    <m/>
    <x v="0"/>
    <n v="45.5"/>
    <n v="2.2999999999999998"/>
    <n v="236"/>
    <n v="104.9"/>
  </r>
  <r>
    <x v="29"/>
    <x v="155"/>
    <x v="156"/>
    <m/>
    <x v="0"/>
    <n v="36"/>
    <n v="2.9"/>
    <n v="201"/>
    <n v="109.9"/>
  </r>
  <r>
    <x v="30"/>
    <x v="156"/>
    <x v="157"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ED2F2-636F-4C73-9B13-43E9B04D59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4" firstHeaderRow="0" firstDataRow="1" firstDataCol="1"/>
  <pivotFields count="9">
    <pivotField axis="axisRow" showAll="0">
      <items count="3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h="1" sd="0" x="30"/>
        <item t="default"/>
      </items>
    </pivotField>
    <pivotField axis="axisRow" showAll="0">
      <items count="158">
        <item x="127"/>
        <item x="126"/>
        <item x="83"/>
        <item x="34"/>
        <item x="7"/>
        <item x="8"/>
        <item x="142"/>
        <item x="9"/>
        <item x="4"/>
        <item x="5"/>
        <item x="6"/>
        <item x="62"/>
        <item x="58"/>
        <item x="110"/>
        <item x="102"/>
        <item x="111"/>
        <item x="137"/>
        <item x="36"/>
        <item x="149"/>
        <item x="121"/>
        <item x="123"/>
        <item x="112"/>
        <item x="114"/>
        <item x="154"/>
        <item x="147"/>
        <item x="23"/>
        <item x="136"/>
        <item x="45"/>
        <item x="125"/>
        <item x="124"/>
        <item x="17"/>
        <item x="19"/>
        <item x="92"/>
        <item x="138"/>
        <item x="10"/>
        <item x="68"/>
        <item x="31"/>
        <item x="57"/>
        <item x="2"/>
        <item x="99"/>
        <item x="98"/>
        <item x="30"/>
        <item x="76"/>
        <item x="48"/>
        <item x="135"/>
        <item x="24"/>
        <item x="87"/>
        <item x="51"/>
        <item x="59"/>
        <item x="108"/>
        <item x="43"/>
        <item x="14"/>
        <item x="82"/>
        <item x="44"/>
        <item x="93"/>
        <item x="80"/>
        <item x="63"/>
        <item x="16"/>
        <item x="70"/>
        <item x="18"/>
        <item x="46"/>
        <item x="54"/>
        <item x="52"/>
        <item x="119"/>
        <item x="50"/>
        <item x="134"/>
        <item x="107"/>
        <item x="56"/>
        <item x="81"/>
        <item x="144"/>
        <item x="118"/>
        <item x="69"/>
        <item x="89"/>
        <item x="120"/>
        <item x="71"/>
        <item x="72"/>
        <item x="148"/>
        <item x="65"/>
        <item x="27"/>
        <item x="0"/>
        <item x="38"/>
        <item x="109"/>
        <item x="145"/>
        <item x="143"/>
        <item x="13"/>
        <item x="32"/>
        <item x="132"/>
        <item x="73"/>
        <item x="21"/>
        <item x="131"/>
        <item x="74"/>
        <item x="20"/>
        <item x="103"/>
        <item x="100"/>
        <item x="26"/>
        <item x="79"/>
        <item x="122"/>
        <item x="22"/>
        <item x="84"/>
        <item x="85"/>
        <item x="90"/>
        <item x="47"/>
        <item x="86"/>
        <item x="78"/>
        <item x="35"/>
        <item x="61"/>
        <item x="133"/>
        <item x="12"/>
        <item x="146"/>
        <item x="60"/>
        <item x="105"/>
        <item x="25"/>
        <item x="116"/>
        <item x="104"/>
        <item x="40"/>
        <item x="42"/>
        <item x="41"/>
        <item x="55"/>
        <item x="141"/>
        <item x="11"/>
        <item x="3"/>
        <item x="75"/>
        <item x="150"/>
        <item x="152"/>
        <item x="155"/>
        <item x="88"/>
        <item x="129"/>
        <item x="94"/>
        <item x="29"/>
        <item x="28"/>
        <item x="101"/>
        <item x="15"/>
        <item x="140"/>
        <item x="113"/>
        <item x="128"/>
        <item x="95"/>
        <item x="96"/>
        <item x="97"/>
        <item x="64"/>
        <item x="37"/>
        <item x="66"/>
        <item x="117"/>
        <item x="130"/>
        <item x="139"/>
        <item x="49"/>
        <item x="1"/>
        <item x="33"/>
        <item x="77"/>
        <item x="151"/>
        <item x="153"/>
        <item x="91"/>
        <item x="39"/>
        <item x="115"/>
        <item x="53"/>
        <item x="67"/>
        <item x="106"/>
        <item x="156"/>
        <item t="default"/>
      </items>
    </pivotField>
    <pivotField dataField="1" showAll="0">
      <items count="159">
        <item x="83"/>
        <item x="39"/>
        <item x="99"/>
        <item x="108"/>
        <item x="125"/>
        <item x="6"/>
        <item x="97"/>
        <item x="126"/>
        <item x="117"/>
        <item x="95"/>
        <item x="72"/>
        <item x="155"/>
        <item x="152"/>
        <item x="36"/>
        <item x="131"/>
        <item x="115"/>
        <item x="149"/>
        <item x="82"/>
        <item x="73"/>
        <item x="16"/>
        <item x="28"/>
        <item x="96"/>
        <item x="132"/>
        <item x="3"/>
        <item x="124"/>
        <item x="74"/>
        <item x="127"/>
        <item x="8"/>
        <item x="148"/>
        <item x="145"/>
        <item x="144"/>
        <item x="17"/>
        <item x="84"/>
        <item x="98"/>
        <item x="128"/>
        <item x="71"/>
        <item x="60"/>
        <item x="32"/>
        <item x="76"/>
        <item x="2"/>
        <item x="86"/>
        <item x="111"/>
        <item x="18"/>
        <item x="153"/>
        <item x="66"/>
        <item x="15"/>
        <item x="41"/>
        <item x="94"/>
        <item x="0"/>
        <item x="151"/>
        <item x="9"/>
        <item x="154"/>
        <item x="24"/>
        <item x="92"/>
        <item x="5"/>
        <item x="156"/>
        <item x="7"/>
        <item x="120"/>
        <item x="112"/>
        <item x="91"/>
        <item x="4"/>
        <item x="26"/>
        <item x="78"/>
        <item x="65"/>
        <item x="70"/>
        <item x="116"/>
        <item x="113"/>
        <item x="130"/>
        <item x="21"/>
        <item x="142"/>
        <item x="79"/>
        <item x="23"/>
        <item x="87"/>
        <item x="104"/>
        <item x="93"/>
        <item x="90"/>
        <item x="12"/>
        <item x="100"/>
        <item x="64"/>
        <item x="34"/>
        <item x="42"/>
        <item x="30"/>
        <item x="25"/>
        <item x="31"/>
        <item x="114"/>
        <item x="29"/>
        <item x="135"/>
        <item x="139"/>
        <item x="48"/>
        <item x="122"/>
        <item x="109"/>
        <item x="85"/>
        <item x="11"/>
        <item x="1"/>
        <item x="123"/>
        <item x="62"/>
        <item x="80"/>
        <item x="105"/>
        <item x="22"/>
        <item x="101"/>
        <item x="134"/>
        <item x="77"/>
        <item x="150"/>
        <item x="133"/>
        <item x="147"/>
        <item x="75"/>
        <item x="118"/>
        <item x="33"/>
        <item x="106"/>
        <item x="67"/>
        <item x="81"/>
        <item x="51"/>
        <item x="14"/>
        <item x="138"/>
        <item x="107"/>
        <item x="141"/>
        <item x="63"/>
        <item x="88"/>
        <item x="143"/>
        <item x="46"/>
        <item x="37"/>
        <item x="59"/>
        <item x="61"/>
        <item x="35"/>
        <item x="103"/>
        <item x="110"/>
        <item x="68"/>
        <item x="129"/>
        <item x="89"/>
        <item x="13"/>
        <item x="146"/>
        <item x="140"/>
        <item x="38"/>
        <item x="102"/>
        <item x="10"/>
        <item x="121"/>
        <item x="44"/>
        <item x="27"/>
        <item x="43"/>
        <item x="47"/>
        <item x="54"/>
        <item x="119"/>
        <item x="20"/>
        <item x="136"/>
        <item x="19"/>
        <item x="53"/>
        <item x="69"/>
        <item x="50"/>
        <item x="45"/>
        <item x="57"/>
        <item x="55"/>
        <item x="40"/>
        <item x="58"/>
        <item x="49"/>
        <item x="137"/>
        <item x="52"/>
        <item x="56"/>
        <item x="157"/>
        <item t="default"/>
      </items>
    </pivotField>
    <pivotField dataField="1"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dataField="1" showAll="0"/>
    <pivotField dataField="1" showAll="0"/>
  </pivotFields>
  <rowFields count="3">
    <field x="0"/>
    <field x="1"/>
    <field x="4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__year_resale_value" fld="3" baseField="0" baseItem="0"/>
    <dataField name="Sum of Sales_in_thousands" fld="2" baseField="0" baseItem="0"/>
    <dataField name="Sum of Price_in_thousands" fld="5" baseField="0" baseItem="0"/>
    <dataField name="Sum of Engine_size" fld="6" baseField="0" baseItem="0"/>
    <dataField name="Sum of Horsepower" fld="7" baseField="0" baseItem="0"/>
    <dataField name="Sum of Wheelbas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E8FAED-E3E5-450F-8709-1850EF6B5327}" name="Table1" displayName="Table1" ref="A1:R158" totalsRowShown="0" headerRowDxfId="42">
  <autoFilter ref="A1:R158" xr:uid="{60E8FAED-E3E5-450F-8709-1850EF6B5327}"/>
  <tableColumns count="18">
    <tableColumn id="1" xr3:uid="{B1455657-B9E5-4419-9F71-30C45106E086}" name="Manufacturer"/>
    <tableColumn id="2" xr3:uid="{B36A7688-9C6B-4FDA-8E94-73BD3A5D74ED}" name="Model" dataDxfId="41"/>
    <tableColumn id="3" xr3:uid="{400E798E-A3C0-4C09-8E1C-4762106D951B}" name="High Low Sales" dataDxfId="0">
      <calculatedColumnFormula>IF(D2&gt;50,"High Sales","Low Sales")</calculatedColumnFormula>
    </tableColumn>
    <tableColumn id="4" xr3:uid="{CEA76799-6BC5-457E-B7A6-98C773DACC25}" name="Sales in dollar" dataDxfId="40"/>
    <tableColumn id="5" xr3:uid="{7D1F7ED0-3AFC-4C8F-B125-6B073D6BC287}" name="__year_resale_value" dataDxfId="39" dataCellStyle="Currency"/>
    <tableColumn id="6" xr3:uid="{3325EC8C-79C3-4486-9A0D-5B1BFD7E43FA}" name="Vehicle_type"/>
    <tableColumn id="7" xr3:uid="{671AA7C9-0E86-464D-8062-1342A8F9F9CC}" name="Price_in_thousands"/>
    <tableColumn id="8" xr3:uid="{7D40C524-4626-4231-B688-C164C90186F8}" name="Engine_size"/>
    <tableColumn id="9" xr3:uid="{0D3932D4-A38C-4EDD-8973-50826FF55005}" name="Horsepower"/>
    <tableColumn id="10" xr3:uid="{A7E7E99D-28FF-4ACD-82E0-5F0F3C7F170C}" name="Performance Tier">
      <calculatedColumnFormula array="1">_xlfn.IFS(I2&lt;120, "Weak", I2&lt;=200, "Moderate", I2&lt;=300, "Powerful", I2&gt;300, "Super")</calculatedColumnFormula>
    </tableColumn>
    <tableColumn id="11" xr3:uid="{B51279EF-D9C6-4723-BF10-BBFABB589AB1}" name="Wheelbase"/>
    <tableColumn id="12" xr3:uid="{3ECF732A-C053-4239-AA4B-26A18A24514E}" name="Width"/>
    <tableColumn id="13" xr3:uid="{13C19AD0-E628-436D-BD60-B403DD281FE2}" name="Length"/>
    <tableColumn id="14" xr3:uid="{CDA26937-A815-4EFC-9B3F-E8D200829E36}" name="Curb_weight"/>
    <tableColumn id="15" xr3:uid="{F2456969-3B09-4EBF-AD8C-28235DBB947C}" name="Fuel_capacity"/>
    <tableColumn id="16" xr3:uid="{45C757AE-F481-4F81-BF0E-6D0913BEBF79}" name="Fuel_efficiency"/>
    <tableColumn id="17" xr3:uid="{2D8A48D5-F02D-44AF-8A0F-70F34CFC74B9}" name="Latest_Launch" dataDxfId="38"/>
    <tableColumn id="18" xr3:uid="{EEFFC120-0984-47A7-B9E2-08D6DF015C3C}" name="Power_perf_fac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5C3B43-6153-4D33-916B-A8239A55CB42}" name="Table14" displayName="Table14" ref="A1:R158" totalsRowShown="0" headerRowDxfId="6">
  <autoFilter ref="A1:R158" xr:uid="{2B5C3B43-6153-4D33-916B-A8239A55CB42}"/>
  <tableColumns count="18">
    <tableColumn id="1" xr3:uid="{48A4DF06-2552-477B-BD9F-9CA75EEF9B9D}" name="Manufacturer"/>
    <tableColumn id="2" xr3:uid="{2B837DC9-DCDF-43A1-AFFA-34771F9CE305}" name="Model" dataDxfId="5"/>
    <tableColumn id="3" xr3:uid="{AE9BD435-842C-40B9-B898-7857D1081D48}" name="High Low Sales" dataDxfId="4">
      <calculatedColumnFormula>IF(D2&gt;20,"High Sales","Low Sales")</calculatedColumnFormula>
    </tableColumn>
    <tableColumn id="4" xr3:uid="{6C469443-A506-444F-8E12-CC6A0B3B632D}" name="Sales_in_thousands" dataDxfId="3"/>
    <tableColumn id="5" xr3:uid="{939AC70A-CB8A-465D-BD76-09662CEBAC3E}" name="__year_resale_value" dataDxfId="2" dataCellStyle="Currency"/>
    <tableColumn id="6" xr3:uid="{47034D56-72EE-4690-956C-3E2DB0DE1AE2}" name="Vehicle_type"/>
    <tableColumn id="7" xr3:uid="{B0CF4E7F-C491-4404-B72F-AA8C5F3042B1}" name="Price_in_thousands"/>
    <tableColumn id="8" xr3:uid="{381E094A-1B7E-4E2D-9ECA-758DD39D8E03}" name="Engine_size"/>
    <tableColumn id="9" xr3:uid="{34B1B1F3-691D-421A-A465-A15DE5C5DA2E}" name="Horsepower"/>
    <tableColumn id="10" xr3:uid="{16D951AC-F92F-44C5-89EC-728F41BAE901}" name="Performance Tier">
      <calculatedColumnFormula array="1">_xlfn.IFS(I2&lt;120, "Weak", I2&lt;=200, "Moderate", I2&lt;=300, "Powerful", I2&gt;300, "Super")</calculatedColumnFormula>
    </tableColumn>
    <tableColumn id="11" xr3:uid="{A09FDDA5-54A2-4FD4-A818-E1C5393FD037}" name="Wheelbase"/>
    <tableColumn id="12" xr3:uid="{7315ED13-9E4B-4B74-A64F-2323E95EE8A2}" name="Width"/>
    <tableColumn id="13" xr3:uid="{2755E3CF-75FF-48C7-B0DF-BDBEA19A4688}" name="Length"/>
    <tableColumn id="14" xr3:uid="{60C983B7-31B0-475E-9DBD-33BC945A3E25}" name="Curb_weight"/>
    <tableColumn id="15" xr3:uid="{FF5D690B-E368-4840-A9E5-DFBD9A2039D5}" name="Fuel_capacity"/>
    <tableColumn id="16" xr3:uid="{FF5D2250-33A7-4D43-9DEC-8740D0C60599}" name="Fuel_efficiency"/>
    <tableColumn id="17" xr3:uid="{96A2CDB5-3C1C-4B01-B2B5-93A20DBD360B}" name="Latest_Launch" dataDxfId="1"/>
    <tableColumn id="18" xr3:uid="{F365B4DD-1108-46EC-8AA0-5AE8C8FDAA37}" name="Power_perf_fac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3398-96CD-40E8-936E-9B71BB7BB8A1}">
  <dimension ref="A3:G34"/>
  <sheetViews>
    <sheetView topLeftCell="A2" workbookViewId="0">
      <selection activeCell="A4" sqref="A4"/>
    </sheetView>
  </sheetViews>
  <sheetFormatPr defaultRowHeight="14.4" x14ac:dyDescent="0.3"/>
  <cols>
    <col min="1" max="1" width="13.109375" bestFit="1" customWidth="1"/>
    <col min="2" max="2" width="24.88671875" bestFit="1" customWidth="1"/>
    <col min="3" max="3" width="24.33203125" bestFit="1" customWidth="1"/>
    <col min="4" max="4" width="24.21875" bestFit="1" customWidth="1"/>
    <col min="5" max="5" width="17.33203125" bestFit="1" customWidth="1"/>
    <col min="6" max="6" width="17.77734375" bestFit="1" customWidth="1"/>
    <col min="7" max="7" width="16.77734375" bestFit="1" customWidth="1"/>
    <col min="8" max="14" width="6" bestFit="1" customWidth="1"/>
    <col min="15" max="15" width="7" bestFit="1" customWidth="1"/>
    <col min="16" max="16" width="6" bestFit="1" customWidth="1"/>
    <col min="17" max="17" width="5" bestFit="1" customWidth="1"/>
    <col min="18" max="18" width="6" bestFit="1" customWidth="1"/>
    <col min="19" max="21" width="7" bestFit="1" customWidth="1"/>
    <col min="22" max="24" width="6" bestFit="1" customWidth="1"/>
    <col min="25" max="25" width="7" bestFit="1" customWidth="1"/>
    <col min="26" max="28" width="6" bestFit="1" customWidth="1"/>
    <col min="29" max="31" width="7" bestFit="1" customWidth="1"/>
    <col min="32" max="32" width="6" bestFit="1" customWidth="1"/>
    <col min="33" max="42" width="7" bestFit="1" customWidth="1"/>
    <col min="43" max="43" width="6" bestFit="1" customWidth="1"/>
    <col min="44" max="79" width="7" bestFit="1" customWidth="1"/>
    <col min="80" max="80" width="6" bestFit="1" customWidth="1"/>
    <col min="81" max="93" width="7" bestFit="1" customWidth="1"/>
    <col min="94" max="94" width="6" bestFit="1" customWidth="1"/>
    <col min="95" max="108" width="7" bestFit="1" customWidth="1"/>
    <col min="109" max="109" width="6" bestFit="1" customWidth="1"/>
    <col min="110" max="128" width="7" bestFit="1" customWidth="1"/>
    <col min="129" max="129" width="6" bestFit="1" customWidth="1"/>
    <col min="130" max="137" width="7" bestFit="1" customWidth="1"/>
    <col min="138" max="147" width="8" bestFit="1" customWidth="1"/>
    <col min="148" max="149" width="7" bestFit="1" customWidth="1"/>
    <col min="150" max="151" width="8" bestFit="1" customWidth="1"/>
    <col min="152" max="152" width="7" bestFit="1" customWidth="1"/>
    <col min="153" max="158" width="8" bestFit="1" customWidth="1"/>
    <col min="159" max="159" width="7" bestFit="1" customWidth="1"/>
    <col min="160" max="160" width="24.21875" bestFit="1" customWidth="1"/>
    <col min="161" max="161" width="7" bestFit="1" customWidth="1"/>
    <col min="162" max="162" width="6" bestFit="1" customWidth="1"/>
    <col min="163" max="163" width="7" bestFit="1" customWidth="1"/>
    <col min="164" max="164" width="6" bestFit="1" customWidth="1"/>
    <col min="165" max="165" width="5" bestFit="1" customWidth="1"/>
    <col min="166" max="169" width="6" bestFit="1" customWidth="1"/>
    <col min="170" max="170" width="7" bestFit="1" customWidth="1"/>
    <col min="171" max="172" width="6" bestFit="1" customWidth="1"/>
    <col min="173" max="173" width="7" bestFit="1" customWidth="1"/>
    <col min="174" max="176" width="6" bestFit="1" customWidth="1"/>
    <col min="177" max="179" width="7" bestFit="1" customWidth="1"/>
    <col min="180" max="181" width="6" bestFit="1" customWidth="1"/>
    <col min="182" max="182" width="7" bestFit="1" customWidth="1"/>
    <col min="183" max="184" width="6" bestFit="1" customWidth="1"/>
    <col min="185" max="185" width="7" bestFit="1" customWidth="1"/>
    <col min="186" max="189" width="6" bestFit="1" customWidth="1"/>
    <col min="190" max="213" width="7" bestFit="1" customWidth="1"/>
    <col min="214" max="214" width="6" bestFit="1" customWidth="1"/>
    <col min="215" max="218" width="7" bestFit="1" customWidth="1"/>
    <col min="219" max="219" width="6" bestFit="1" customWidth="1"/>
    <col min="220" max="251" width="7" bestFit="1" customWidth="1"/>
    <col min="252" max="252" width="6" bestFit="1" customWidth="1"/>
    <col min="253" max="266" width="7" bestFit="1" customWidth="1"/>
    <col min="267" max="267" width="6" bestFit="1" customWidth="1"/>
    <col min="268" max="295" width="7" bestFit="1" customWidth="1"/>
    <col min="296" max="305" width="8" bestFit="1" customWidth="1"/>
    <col min="306" max="307" width="7" bestFit="1" customWidth="1"/>
    <col min="308" max="309" width="8" bestFit="1" customWidth="1"/>
    <col min="310" max="310" width="7" bestFit="1" customWidth="1"/>
    <col min="311" max="316" width="8" bestFit="1" customWidth="1"/>
    <col min="317" max="317" width="7" bestFit="1" customWidth="1"/>
    <col min="318" max="318" width="17.33203125" bestFit="1" customWidth="1"/>
    <col min="319" max="321" width="6" bestFit="1" customWidth="1"/>
    <col min="322" max="323" width="5" bestFit="1" customWidth="1"/>
    <col min="324" max="332" width="6" bestFit="1" customWidth="1"/>
    <col min="333" max="333" width="5" bestFit="1" customWidth="1"/>
    <col min="334" max="348" width="6" bestFit="1" customWidth="1"/>
    <col min="349" max="358" width="7" bestFit="1" customWidth="1"/>
    <col min="359" max="359" width="6" bestFit="1" customWidth="1"/>
    <col min="360" max="371" width="7" bestFit="1" customWidth="1"/>
    <col min="372" max="372" width="6" bestFit="1" customWidth="1"/>
    <col min="373" max="376" width="7" bestFit="1" customWidth="1"/>
    <col min="377" max="377" width="6" bestFit="1" customWidth="1"/>
    <col min="378" max="395" width="7" bestFit="1" customWidth="1"/>
    <col min="396" max="396" width="6" bestFit="1" customWidth="1"/>
    <col min="397" max="409" width="7" bestFit="1" customWidth="1"/>
    <col min="410" max="410" width="6" bestFit="1" customWidth="1"/>
    <col min="411" max="424" width="7" bestFit="1" customWidth="1"/>
    <col min="425" max="425" width="6" bestFit="1" customWidth="1"/>
    <col min="426" max="444" width="7" bestFit="1" customWidth="1"/>
    <col min="445" max="445" width="6" bestFit="1" customWidth="1"/>
    <col min="446" max="453" width="7" bestFit="1" customWidth="1"/>
    <col min="454" max="463" width="8" bestFit="1" customWidth="1"/>
    <col min="464" max="465" width="7" bestFit="1" customWidth="1"/>
    <col min="466" max="467" width="8" bestFit="1" customWidth="1"/>
    <col min="468" max="468" width="7" bestFit="1" customWidth="1"/>
    <col min="469" max="474" width="8" bestFit="1" customWidth="1"/>
    <col min="475" max="475" width="7" bestFit="1" customWidth="1"/>
    <col min="476" max="476" width="17.77734375" bestFit="1" customWidth="1"/>
    <col min="477" max="479" width="6" bestFit="1" customWidth="1"/>
    <col min="480" max="481" width="5" bestFit="1" customWidth="1"/>
    <col min="482" max="490" width="6" bestFit="1" customWidth="1"/>
    <col min="491" max="491" width="5" bestFit="1" customWidth="1"/>
    <col min="492" max="506" width="6" bestFit="1" customWidth="1"/>
    <col min="507" max="516" width="7" bestFit="1" customWidth="1"/>
    <col min="517" max="517" width="6" bestFit="1" customWidth="1"/>
    <col min="518" max="529" width="7" bestFit="1" customWidth="1"/>
    <col min="530" max="530" width="6" bestFit="1" customWidth="1"/>
    <col min="531" max="534" width="7" bestFit="1" customWidth="1"/>
    <col min="535" max="535" width="6" bestFit="1" customWidth="1"/>
    <col min="536" max="553" width="7" bestFit="1" customWidth="1"/>
    <col min="554" max="554" width="6" bestFit="1" customWidth="1"/>
    <col min="555" max="567" width="7" bestFit="1" customWidth="1"/>
    <col min="568" max="568" width="6" bestFit="1" customWidth="1"/>
    <col min="569" max="582" width="7" bestFit="1" customWidth="1"/>
    <col min="583" max="583" width="6" bestFit="1" customWidth="1"/>
    <col min="584" max="602" width="7" bestFit="1" customWidth="1"/>
    <col min="603" max="603" width="6" bestFit="1" customWidth="1"/>
    <col min="604" max="611" width="7" bestFit="1" customWidth="1"/>
    <col min="612" max="621" width="8" bestFit="1" customWidth="1"/>
    <col min="622" max="623" width="7" bestFit="1" customWidth="1"/>
    <col min="624" max="625" width="8" bestFit="1" customWidth="1"/>
    <col min="626" max="626" width="7" bestFit="1" customWidth="1"/>
    <col min="627" max="632" width="8" bestFit="1" customWidth="1"/>
    <col min="633" max="633" width="7" bestFit="1" customWidth="1"/>
    <col min="634" max="634" width="16.77734375" bestFit="1" customWidth="1"/>
    <col min="635" max="637" width="6" bestFit="1" customWidth="1"/>
    <col min="638" max="639" width="5" bestFit="1" customWidth="1"/>
    <col min="640" max="648" width="6" bestFit="1" customWidth="1"/>
    <col min="649" max="649" width="5" bestFit="1" customWidth="1"/>
    <col min="650" max="664" width="6" bestFit="1" customWidth="1"/>
    <col min="665" max="674" width="7" bestFit="1" customWidth="1"/>
    <col min="675" max="675" width="6" bestFit="1" customWidth="1"/>
    <col min="676" max="687" width="7" bestFit="1" customWidth="1"/>
    <col min="688" max="688" width="6" bestFit="1" customWidth="1"/>
    <col min="689" max="692" width="7" bestFit="1" customWidth="1"/>
    <col min="693" max="693" width="6" bestFit="1" customWidth="1"/>
    <col min="694" max="711" width="7" bestFit="1" customWidth="1"/>
    <col min="712" max="712" width="6" bestFit="1" customWidth="1"/>
    <col min="713" max="725" width="7" bestFit="1" customWidth="1"/>
    <col min="726" max="726" width="6" bestFit="1" customWidth="1"/>
    <col min="727" max="740" width="7" bestFit="1" customWidth="1"/>
    <col min="741" max="741" width="6" bestFit="1" customWidth="1"/>
    <col min="742" max="760" width="7" bestFit="1" customWidth="1"/>
    <col min="761" max="761" width="6" bestFit="1" customWidth="1"/>
    <col min="762" max="769" width="7" bestFit="1" customWidth="1"/>
    <col min="770" max="779" width="8" bestFit="1" customWidth="1"/>
    <col min="780" max="781" width="7" bestFit="1" customWidth="1"/>
    <col min="782" max="783" width="8" bestFit="1" customWidth="1"/>
    <col min="784" max="784" width="7" bestFit="1" customWidth="1"/>
    <col min="785" max="790" width="8" bestFit="1" customWidth="1"/>
    <col min="791" max="791" width="7" bestFit="1" customWidth="1"/>
    <col min="792" max="792" width="29.77734375" bestFit="1" customWidth="1"/>
    <col min="793" max="793" width="29" bestFit="1" customWidth="1"/>
    <col min="794" max="794" width="22.109375" bestFit="1" customWidth="1"/>
    <col min="795" max="795" width="22.5546875" bestFit="1" customWidth="1"/>
    <col min="796" max="796" width="21.6640625" bestFit="1" customWidth="1"/>
  </cols>
  <sheetData>
    <row r="3" spans="1:7" x14ac:dyDescent="0.3">
      <c r="A3" s="7" t="s">
        <v>203</v>
      </c>
      <c r="B3" t="s">
        <v>202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</row>
    <row r="4" spans="1:7" x14ac:dyDescent="0.3">
      <c r="A4" s="8" t="s">
        <v>16</v>
      </c>
      <c r="B4">
        <v>84.185000000000002</v>
      </c>
      <c r="C4">
        <v>79.004999999999995</v>
      </c>
      <c r="D4">
        <v>91.9</v>
      </c>
      <c r="E4">
        <v>11.7</v>
      </c>
      <c r="F4">
        <v>800</v>
      </c>
      <c r="G4">
        <v>430.80000000000007</v>
      </c>
    </row>
    <row r="5" spans="1:7" x14ac:dyDescent="0.3">
      <c r="A5" s="8" t="s">
        <v>22</v>
      </c>
      <c r="B5">
        <v>84.81</v>
      </c>
      <c r="C5">
        <v>40.557000000000002</v>
      </c>
      <c r="D5">
        <v>119.94</v>
      </c>
      <c r="E5">
        <v>8.8000000000000007</v>
      </c>
      <c r="F5">
        <v>660</v>
      </c>
      <c r="G5">
        <v>324.3</v>
      </c>
    </row>
    <row r="6" spans="1:7" x14ac:dyDescent="0.3">
      <c r="A6" s="8" t="s">
        <v>26</v>
      </c>
      <c r="B6">
        <v>64.8</v>
      </c>
      <c r="C6">
        <v>46.505000000000003</v>
      </c>
      <c r="D6">
        <v>99.289999999999992</v>
      </c>
      <c r="E6">
        <v>8.1</v>
      </c>
      <c r="F6">
        <v>556</v>
      </c>
      <c r="G6">
        <v>326</v>
      </c>
    </row>
    <row r="7" spans="1:7" x14ac:dyDescent="0.3">
      <c r="A7" s="8" t="s">
        <v>30</v>
      </c>
      <c r="B7">
        <v>59.765000000000001</v>
      </c>
      <c r="C7">
        <v>242.01900000000001</v>
      </c>
      <c r="D7">
        <v>107.12500000000001</v>
      </c>
      <c r="E7">
        <v>14.5</v>
      </c>
      <c r="F7">
        <v>825</v>
      </c>
      <c r="G7">
        <v>444</v>
      </c>
    </row>
    <row r="8" spans="1:7" x14ac:dyDescent="0.3">
      <c r="A8" s="8" t="s">
        <v>35</v>
      </c>
      <c r="B8">
        <v>93.574999999999989</v>
      </c>
      <c r="C8">
        <v>112.178</v>
      </c>
      <c r="D8">
        <v>201.26999999999998</v>
      </c>
      <c r="E8">
        <v>22.499999999999996</v>
      </c>
      <c r="F8">
        <v>1280</v>
      </c>
      <c r="G8">
        <v>560.4</v>
      </c>
    </row>
    <row r="9" spans="1:7" x14ac:dyDescent="0.3">
      <c r="A9" s="8" t="s">
        <v>42</v>
      </c>
      <c r="B9">
        <v>105.845</v>
      </c>
      <c r="C9">
        <v>554.36500000000001</v>
      </c>
      <c r="D9">
        <v>180.20499999999998</v>
      </c>
      <c r="E9">
        <v>27.5</v>
      </c>
      <c r="F9">
        <v>1540</v>
      </c>
      <c r="G9">
        <v>935.40000000000009</v>
      </c>
    </row>
    <row r="10" spans="1:7" x14ac:dyDescent="0.3">
      <c r="A10" s="8" t="s">
        <v>52</v>
      </c>
      <c r="B10">
        <v>89.77000000000001</v>
      </c>
      <c r="C10">
        <v>201.721</v>
      </c>
      <c r="D10">
        <v>140.58500000000001</v>
      </c>
      <c r="E10">
        <v>16.7</v>
      </c>
      <c r="F10">
        <v>1169</v>
      </c>
      <c r="G10">
        <v>656.7</v>
      </c>
    </row>
    <row r="11" spans="1:7" x14ac:dyDescent="0.3">
      <c r="A11" s="8" t="s">
        <v>60</v>
      </c>
      <c r="B11">
        <v>168.505</v>
      </c>
      <c r="C11">
        <v>910.149</v>
      </c>
      <c r="D11">
        <v>266.34999999999997</v>
      </c>
      <c r="E11">
        <v>40.799999999999997</v>
      </c>
      <c r="F11">
        <v>2195</v>
      </c>
      <c r="G11">
        <v>1261.4000000000001</v>
      </c>
    </row>
    <row r="12" spans="1:7" x14ac:dyDescent="0.3">
      <c r="A12" s="8" t="s">
        <v>72</v>
      </c>
      <c r="B12">
        <v>129.6</v>
      </c>
      <c r="C12">
        <v>2022.6350000000002</v>
      </c>
      <c r="D12">
        <v>231.52</v>
      </c>
      <c r="E12">
        <v>36.6</v>
      </c>
      <c r="F12">
        <v>1871</v>
      </c>
      <c r="G12">
        <v>1239.7000000000003</v>
      </c>
    </row>
    <row r="13" spans="1:7" x14ac:dyDescent="0.3">
      <c r="A13" s="8" t="s">
        <v>84</v>
      </c>
      <c r="B13">
        <v>77.784999999999997</v>
      </c>
      <c r="C13">
        <v>592.67399999999998</v>
      </c>
      <c r="D13">
        <v>101.38499999999999</v>
      </c>
      <c r="E13">
        <v>12.600000000000001</v>
      </c>
      <c r="F13">
        <v>802</v>
      </c>
      <c r="G13">
        <v>537.80000000000007</v>
      </c>
    </row>
    <row r="14" spans="1:7" x14ac:dyDescent="0.3">
      <c r="A14" s="8" t="s">
        <v>90</v>
      </c>
      <c r="B14">
        <v>22.594999999999999</v>
      </c>
      <c r="C14">
        <v>137.32599999999999</v>
      </c>
      <c r="D14">
        <v>36.497</v>
      </c>
      <c r="E14">
        <v>5.9</v>
      </c>
      <c r="F14">
        <v>380</v>
      </c>
      <c r="G14">
        <v>302.8</v>
      </c>
    </row>
    <row r="15" spans="1:7" x14ac:dyDescent="0.3">
      <c r="A15" s="8" t="s">
        <v>94</v>
      </c>
      <c r="B15">
        <v>19.690000000000001</v>
      </c>
      <c r="C15">
        <v>23.713000000000001</v>
      </c>
      <c r="D15">
        <v>29.465</v>
      </c>
      <c r="E15">
        <v>3</v>
      </c>
      <c r="F15">
        <v>227</v>
      </c>
      <c r="G15">
        <v>108.3</v>
      </c>
    </row>
    <row r="16" spans="1:7" x14ac:dyDescent="0.3">
      <c r="A16" s="8" t="s">
        <v>96</v>
      </c>
      <c r="C16">
        <v>15.467000000000001</v>
      </c>
      <c r="D16">
        <v>42.8</v>
      </c>
      <c r="E16">
        <v>3</v>
      </c>
      <c r="F16">
        <v>240</v>
      </c>
      <c r="G16">
        <v>114.5</v>
      </c>
    </row>
    <row r="17" spans="1:7" x14ac:dyDescent="0.3">
      <c r="A17" s="8" t="s">
        <v>98</v>
      </c>
      <c r="B17">
        <v>46.06</v>
      </c>
      <c r="C17">
        <v>293.15300000000002</v>
      </c>
      <c r="D17">
        <v>62.974999999999994</v>
      </c>
      <c r="E17">
        <v>10.5</v>
      </c>
      <c r="F17">
        <v>505</v>
      </c>
      <c r="G17">
        <v>300.70000000000005</v>
      </c>
    </row>
    <row r="18" spans="1:7" x14ac:dyDescent="0.3">
      <c r="A18" s="8" t="s">
        <v>102</v>
      </c>
      <c r="B18">
        <v>99.425000000000011</v>
      </c>
      <c r="C18">
        <v>106.84299999999999</v>
      </c>
      <c r="D18">
        <v>264.33</v>
      </c>
      <c r="E18">
        <v>21.7</v>
      </c>
      <c r="F18">
        <v>1475</v>
      </c>
      <c r="G18">
        <v>652.9</v>
      </c>
    </row>
    <row r="19" spans="1:7" x14ac:dyDescent="0.3">
      <c r="A19" s="8" t="s">
        <v>109</v>
      </c>
      <c r="B19">
        <v>42.25</v>
      </c>
      <c r="C19">
        <v>85.634</v>
      </c>
      <c r="D19">
        <v>125.07</v>
      </c>
      <c r="E19">
        <v>14.6</v>
      </c>
      <c r="F19">
        <v>790</v>
      </c>
      <c r="G19">
        <v>345.7</v>
      </c>
    </row>
    <row r="20" spans="1:7" x14ac:dyDescent="0.3">
      <c r="A20" s="8" t="s">
        <v>128</v>
      </c>
      <c r="B20">
        <v>176.47499999999999</v>
      </c>
      <c r="C20">
        <v>117.125</v>
      </c>
      <c r="D20">
        <v>476.25000000000006</v>
      </c>
      <c r="E20">
        <v>30.8</v>
      </c>
      <c r="F20">
        <v>2090</v>
      </c>
      <c r="G20">
        <v>957.4</v>
      </c>
    </row>
    <row r="21" spans="1:7" x14ac:dyDescent="0.3">
      <c r="A21" s="8" t="s">
        <v>121</v>
      </c>
      <c r="B21">
        <v>83.820000000000007</v>
      </c>
      <c r="C21">
        <v>237.99900000000002</v>
      </c>
      <c r="D21">
        <v>124.49000000000001</v>
      </c>
      <c r="E21">
        <v>18.899999999999999</v>
      </c>
      <c r="F21">
        <v>983</v>
      </c>
      <c r="G21">
        <v>659.9</v>
      </c>
    </row>
    <row r="22" spans="1:7" x14ac:dyDescent="0.3">
      <c r="A22" s="8" t="s">
        <v>113</v>
      </c>
      <c r="B22">
        <v>99.834999999999994</v>
      </c>
      <c r="C22">
        <v>180.89499999999998</v>
      </c>
      <c r="D22">
        <v>155.17200000000003</v>
      </c>
      <c r="E22">
        <v>19.600000000000001</v>
      </c>
      <c r="F22">
        <v>1156</v>
      </c>
      <c r="G22">
        <v>721.8</v>
      </c>
    </row>
    <row r="23" spans="1:7" x14ac:dyDescent="0.3">
      <c r="A23" s="8" t="s">
        <v>138</v>
      </c>
      <c r="B23">
        <v>68.06</v>
      </c>
      <c r="C23">
        <v>399.63499999999999</v>
      </c>
      <c r="D23">
        <v>156.52500000000003</v>
      </c>
      <c r="E23">
        <v>20.400000000000002</v>
      </c>
      <c r="F23">
        <v>1183</v>
      </c>
      <c r="G23">
        <v>750.09999999999991</v>
      </c>
    </row>
    <row r="24" spans="1:7" x14ac:dyDescent="0.3">
      <c r="A24" s="8" t="s">
        <v>146</v>
      </c>
      <c r="B24">
        <v>66.295000000000002</v>
      </c>
      <c r="C24">
        <v>178.98899999999998</v>
      </c>
      <c r="D24">
        <v>153.73699999999999</v>
      </c>
      <c r="E24">
        <v>20.7</v>
      </c>
      <c r="F24">
        <v>1140</v>
      </c>
      <c r="G24">
        <v>663.8</v>
      </c>
    </row>
    <row r="25" spans="1:7" x14ac:dyDescent="0.3">
      <c r="A25" s="8" t="s">
        <v>153</v>
      </c>
      <c r="B25">
        <v>29.575000000000003</v>
      </c>
      <c r="C25">
        <v>64.001000000000005</v>
      </c>
      <c r="D25">
        <v>90.57</v>
      </c>
      <c r="E25">
        <v>9.9</v>
      </c>
      <c r="F25">
        <v>667</v>
      </c>
      <c r="G25">
        <v>439.6</v>
      </c>
    </row>
    <row r="26" spans="1:7" x14ac:dyDescent="0.3">
      <c r="A26" s="8" t="s">
        <v>157</v>
      </c>
      <c r="B26">
        <v>69.11999999999999</v>
      </c>
      <c r="C26">
        <v>370.53400000000005</v>
      </c>
      <c r="D26">
        <v>137.69499999999999</v>
      </c>
      <c r="E26">
        <v>20.599999999999998</v>
      </c>
      <c r="F26">
        <v>1110</v>
      </c>
      <c r="G26">
        <v>654.9</v>
      </c>
    </row>
    <row r="27" spans="1:7" x14ac:dyDescent="0.3">
      <c r="A27" s="8" t="s">
        <v>164</v>
      </c>
      <c r="B27">
        <v>169.42500000000001</v>
      </c>
      <c r="C27">
        <v>12.127999999999998</v>
      </c>
      <c r="D27">
        <v>187.42</v>
      </c>
      <c r="E27">
        <v>9.5</v>
      </c>
      <c r="F27">
        <v>817</v>
      </c>
      <c r="G27">
        <v>280.39999999999998</v>
      </c>
    </row>
    <row r="28" spans="1:7" x14ac:dyDescent="0.3">
      <c r="A28" s="8" t="s">
        <v>168</v>
      </c>
      <c r="C28">
        <v>21.306000000000001</v>
      </c>
      <c r="D28">
        <v>59.22</v>
      </c>
      <c r="E28">
        <v>4.3</v>
      </c>
      <c r="F28">
        <v>355</v>
      </c>
      <c r="G28">
        <v>209</v>
      </c>
    </row>
    <row r="29" spans="1:7" x14ac:dyDescent="0.3">
      <c r="A29" s="8" t="s">
        <v>169</v>
      </c>
      <c r="B29">
        <v>30.58</v>
      </c>
      <c r="C29">
        <v>168.85</v>
      </c>
      <c r="D29">
        <v>71.355000000000004</v>
      </c>
      <c r="E29">
        <v>10.1</v>
      </c>
      <c r="F29">
        <v>598</v>
      </c>
      <c r="G29">
        <v>520.20000000000005</v>
      </c>
    </row>
    <row r="30" spans="1:7" x14ac:dyDescent="0.3">
      <c r="A30" s="8" t="s">
        <v>175</v>
      </c>
      <c r="C30">
        <v>80.134999999999991</v>
      </c>
      <c r="D30">
        <v>42.79</v>
      </c>
      <c r="E30">
        <v>5</v>
      </c>
      <c r="F30">
        <v>330</v>
      </c>
      <c r="G30">
        <v>202.9</v>
      </c>
    </row>
    <row r="31" spans="1:7" x14ac:dyDescent="0.3">
      <c r="A31" s="8" t="s">
        <v>178</v>
      </c>
      <c r="B31">
        <v>133.26</v>
      </c>
      <c r="C31">
        <v>740.20500000000015</v>
      </c>
      <c r="D31">
        <v>197.84600000000003</v>
      </c>
      <c r="E31">
        <v>23.6</v>
      </c>
      <c r="F31">
        <v>1446</v>
      </c>
      <c r="G31">
        <v>941.59999999999991</v>
      </c>
    </row>
    <row r="32" spans="1:7" x14ac:dyDescent="0.3">
      <c r="A32" s="8" t="s">
        <v>188</v>
      </c>
      <c r="B32">
        <v>71.725000000000009</v>
      </c>
      <c r="C32">
        <v>209.21199999999999</v>
      </c>
      <c r="D32">
        <v>106.19</v>
      </c>
      <c r="E32">
        <v>11.8</v>
      </c>
      <c r="F32">
        <v>725</v>
      </c>
      <c r="G32">
        <v>599.4</v>
      </c>
    </row>
    <row r="33" spans="1:7" x14ac:dyDescent="0.3">
      <c r="A33" s="8" t="s">
        <v>195</v>
      </c>
      <c r="C33">
        <v>75.740000000000009</v>
      </c>
      <c r="D33">
        <v>185.6</v>
      </c>
      <c r="E33">
        <v>13.799999999999999</v>
      </c>
      <c r="F33">
        <v>1093</v>
      </c>
      <c r="G33">
        <v>625.59999999999991</v>
      </c>
    </row>
    <row r="34" spans="1:7" x14ac:dyDescent="0.3">
      <c r="A34" s="8" t="s">
        <v>204</v>
      </c>
      <c r="B34">
        <v>2186.8299999999995</v>
      </c>
      <c r="C34">
        <v>8320.6979999999985</v>
      </c>
      <c r="D34">
        <v>4245.5670000000009</v>
      </c>
      <c r="E34">
        <v>477.50000000000006</v>
      </c>
      <c r="F34">
        <v>29008</v>
      </c>
      <c r="G34">
        <v>16768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E606-F667-4F67-A422-6A9DC3C038F8}">
  <dimension ref="A1:Y160"/>
  <sheetViews>
    <sheetView tabSelected="1" topLeftCell="Q1" workbookViewId="0">
      <selection activeCell="Y1" sqref="Y1"/>
    </sheetView>
  </sheetViews>
  <sheetFormatPr defaultRowHeight="14.4" x14ac:dyDescent="0.3"/>
  <cols>
    <col min="1" max="1" width="15.88671875" customWidth="1"/>
    <col min="2" max="2" width="15.44140625" style="6" bestFit="1" customWidth="1"/>
    <col min="3" max="3" width="18" style="6" customWidth="1"/>
    <col min="4" max="4" width="21.33203125" style="2" customWidth="1"/>
    <col min="5" max="5" width="23.21875" style="11" customWidth="1"/>
    <col min="6" max="6" width="14.88671875" customWidth="1"/>
    <col min="7" max="7" width="21.21875" customWidth="1"/>
    <col min="8" max="8" width="13.77734375" customWidth="1"/>
    <col min="9" max="9" width="14.33203125" customWidth="1"/>
    <col min="10" max="10" width="18.88671875" customWidth="1"/>
    <col min="11" max="13" width="13.77734375" customWidth="1"/>
    <col min="14" max="14" width="14.77734375" customWidth="1"/>
    <col min="15" max="15" width="15.44140625" customWidth="1"/>
    <col min="16" max="16" width="16.5546875" customWidth="1"/>
    <col min="17" max="17" width="16.109375" customWidth="1"/>
    <col min="18" max="18" width="20.33203125" customWidth="1"/>
    <col min="20" max="20" width="12" bestFit="1" customWidth="1"/>
    <col min="21" max="21" width="10.21875" bestFit="1" customWidth="1"/>
    <col min="22" max="22" width="12.5546875" bestFit="1" customWidth="1"/>
    <col min="23" max="23" width="93.44140625" bestFit="1" customWidth="1"/>
    <col min="24" max="24" width="9" bestFit="1" customWidth="1"/>
    <col min="25" max="25" width="9.21875" bestFit="1" customWidth="1"/>
  </cols>
  <sheetData>
    <row r="1" spans="1:25" ht="30.6" customHeight="1" x14ac:dyDescent="0.4">
      <c r="A1" s="3" t="s">
        <v>0</v>
      </c>
      <c r="B1" s="5" t="s">
        <v>1</v>
      </c>
      <c r="C1" s="5" t="s">
        <v>211</v>
      </c>
      <c r="D1" s="4" t="s">
        <v>249</v>
      </c>
      <c r="E1" s="10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212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T1" s="12" t="s">
        <v>210</v>
      </c>
      <c r="U1" s="12"/>
      <c r="V1" s="12"/>
      <c r="W1" s="40" t="s">
        <v>214</v>
      </c>
      <c r="Y1" s="42" t="s">
        <v>243</v>
      </c>
    </row>
    <row r="2" spans="1:25" x14ac:dyDescent="0.3">
      <c r="A2" t="s">
        <v>16</v>
      </c>
      <c r="B2" s="6" t="s">
        <v>17</v>
      </c>
      <c r="C2" s="6" t="str">
        <f t="shared" ref="C2:C33" si="0">IF(D2&gt;50,"High Sales","Low Sales")</f>
        <v>Low Sales</v>
      </c>
      <c r="D2" s="2">
        <v>16.919</v>
      </c>
      <c r="E2" s="11">
        <v>16.36</v>
      </c>
      <c r="F2" t="s">
        <v>18</v>
      </c>
      <c r="G2">
        <v>21.5</v>
      </c>
      <c r="H2">
        <v>1.8</v>
      </c>
      <c r="I2">
        <v>140</v>
      </c>
      <c r="J2" t="str" cm="1">
        <f t="array" ref="J2">_xlfn.IFS(I2&lt;120, "Weak", I2&lt;=200, "Moderate", I2&lt;=300, "Powerful", I2&gt;300, "Super")</f>
        <v>Moderate</v>
      </c>
      <c r="K2">
        <v>101.2</v>
      </c>
      <c r="L2">
        <v>67.3</v>
      </c>
      <c r="M2">
        <v>172.4</v>
      </c>
      <c r="N2">
        <v>2.6389999999999998</v>
      </c>
      <c r="O2">
        <v>13.2</v>
      </c>
      <c r="P2">
        <v>28</v>
      </c>
      <c r="Q2" s="1">
        <v>40941</v>
      </c>
      <c r="R2">
        <v>58.280149520000002</v>
      </c>
      <c r="T2" s="42" t="s">
        <v>241</v>
      </c>
      <c r="U2" s="42" t="s">
        <v>242</v>
      </c>
      <c r="V2" s="42" t="s">
        <v>1</v>
      </c>
      <c r="W2" s="9" t="s">
        <v>213</v>
      </c>
      <c r="X2">
        <f>COUNTIF(A:F,"passenger")</f>
        <v>116</v>
      </c>
    </row>
    <row r="3" spans="1:25" x14ac:dyDescent="0.3">
      <c r="A3" t="s">
        <v>16</v>
      </c>
      <c r="B3" s="6" t="s">
        <v>19</v>
      </c>
      <c r="C3" s="6" t="str">
        <f t="shared" si="0"/>
        <v>Low Sales</v>
      </c>
      <c r="D3" s="2">
        <v>39.384</v>
      </c>
      <c r="E3" s="11">
        <v>19.875</v>
      </c>
      <c r="F3" t="s">
        <v>18</v>
      </c>
      <c r="G3">
        <v>28.4</v>
      </c>
      <c r="H3">
        <v>3.2</v>
      </c>
      <c r="I3">
        <v>225</v>
      </c>
      <c r="J3" t="str" cm="1">
        <f t="array" ref="J3">_xlfn.IFS(I3&lt;120, "Weak", I3&lt;=200, "Moderate", I3&lt;=300, "Powerful", I3&gt;300, "Super")</f>
        <v>Powerful</v>
      </c>
      <c r="K3">
        <v>108.1</v>
      </c>
      <c r="L3">
        <v>70.3</v>
      </c>
      <c r="M3">
        <v>192.9</v>
      </c>
      <c r="N3">
        <v>3.5169999999999999</v>
      </c>
      <c r="O3">
        <v>17.2</v>
      </c>
      <c r="P3">
        <v>25</v>
      </c>
      <c r="Q3" s="1">
        <v>40697</v>
      </c>
      <c r="R3">
        <v>91.370777660000002</v>
      </c>
      <c r="T3" s="18" t="s">
        <v>16</v>
      </c>
      <c r="U3" s="19" t="str">
        <f>VLOOKUP(T3,A:D,3,FALSE)</f>
        <v>Low Sales</v>
      </c>
      <c r="V3" s="20" t="str">
        <f>VLOOKUP(T3,A:D,2,FALSE)</f>
        <v>Integra</v>
      </c>
      <c r="W3" s="9" t="s">
        <v>216</v>
      </c>
      <c r="X3">
        <f>COUNTIF(E:E,"&gt;20")</f>
        <v>28</v>
      </c>
    </row>
    <row r="4" spans="1:25" x14ac:dyDescent="0.3">
      <c r="A4" t="s">
        <v>16</v>
      </c>
      <c r="B4" s="6" t="s">
        <v>20</v>
      </c>
      <c r="C4" s="6" t="str">
        <f t="shared" si="0"/>
        <v>Low Sales</v>
      </c>
      <c r="D4" s="2">
        <v>14.114000000000001</v>
      </c>
      <c r="E4" s="11">
        <v>18.225000000000001</v>
      </c>
      <c r="F4" t="s">
        <v>18</v>
      </c>
      <c r="H4">
        <v>3.2</v>
      </c>
      <c r="I4">
        <v>225</v>
      </c>
      <c r="J4" t="str" cm="1">
        <f t="array" ref="J4">_xlfn.IFS(I4&lt;120, "Weak", I4&lt;=200, "Moderate", I4&lt;=300, "Powerful", I4&gt;300, "Super")</f>
        <v>Powerful</v>
      </c>
      <c r="K4">
        <v>106.9</v>
      </c>
      <c r="L4">
        <v>70.599999999999994</v>
      </c>
      <c r="M4">
        <v>192</v>
      </c>
      <c r="N4">
        <v>3.47</v>
      </c>
      <c r="O4">
        <v>17.2</v>
      </c>
      <c r="P4">
        <v>26</v>
      </c>
      <c r="Q4" s="1">
        <v>40912</v>
      </c>
      <c r="T4" s="18" t="s">
        <v>22</v>
      </c>
      <c r="U4" s="19" t="str">
        <f t="shared" ref="U3:U32" si="1">VLOOKUP(T4,A:D,3,FALSE)</f>
        <v>Low Sales</v>
      </c>
      <c r="V4" s="20" t="str">
        <f t="shared" ref="V3:V32" si="2">VLOOKUP(T4,A:D,2,FALSE)</f>
        <v>A4</v>
      </c>
      <c r="W4" s="41" t="s">
        <v>215</v>
      </c>
    </row>
    <row r="5" spans="1:25" x14ac:dyDescent="0.3">
      <c r="A5" t="s">
        <v>16</v>
      </c>
      <c r="B5" s="6" t="s">
        <v>21</v>
      </c>
      <c r="C5" s="6" t="str">
        <f t="shared" si="0"/>
        <v>Low Sales</v>
      </c>
      <c r="D5" s="2">
        <v>8.5879999999999992</v>
      </c>
      <c r="E5" s="11">
        <v>29.725000000000001</v>
      </c>
      <c r="F5" t="s">
        <v>18</v>
      </c>
      <c r="G5">
        <v>42</v>
      </c>
      <c r="H5">
        <v>3.5</v>
      </c>
      <c r="I5">
        <v>210</v>
      </c>
      <c r="J5" t="str" cm="1">
        <f t="array" ref="J5">_xlfn.IFS(I5&lt;120, "Weak", I5&lt;=200, "Moderate", I5&lt;=300, "Powerful", I5&gt;300, "Super")</f>
        <v>Powerful</v>
      </c>
      <c r="K5">
        <v>114.6</v>
      </c>
      <c r="L5">
        <v>71.400000000000006</v>
      </c>
      <c r="M5">
        <v>196.6</v>
      </c>
      <c r="N5">
        <v>3.85</v>
      </c>
      <c r="O5">
        <v>18</v>
      </c>
      <c r="P5">
        <v>22</v>
      </c>
      <c r="Q5" s="1">
        <v>40612</v>
      </c>
      <c r="R5">
        <v>91.389779329999996</v>
      </c>
      <c r="T5" s="18" t="s">
        <v>26</v>
      </c>
      <c r="U5" s="19" t="str">
        <f t="shared" si="1"/>
        <v>Low Sales</v>
      </c>
      <c r="V5" s="20" t="str">
        <f t="shared" si="2"/>
        <v>323i</v>
      </c>
      <c r="W5" s="16" t="s">
        <v>217</v>
      </c>
      <c r="X5" s="17">
        <f>SUMIF(F:F,"Car",G:G)</f>
        <v>1052.799</v>
      </c>
    </row>
    <row r="6" spans="1:25" x14ac:dyDescent="0.3">
      <c r="A6" t="s">
        <v>22</v>
      </c>
      <c r="B6" s="6" t="s">
        <v>23</v>
      </c>
      <c r="C6" s="6" t="str">
        <f t="shared" si="0"/>
        <v>Low Sales</v>
      </c>
      <c r="D6" s="2">
        <v>20.396999999999998</v>
      </c>
      <c r="E6" s="11">
        <v>22.254999999999999</v>
      </c>
      <c r="F6" t="s">
        <v>18</v>
      </c>
      <c r="G6">
        <v>23.99</v>
      </c>
      <c r="H6">
        <v>1.8</v>
      </c>
      <c r="I6">
        <v>150</v>
      </c>
      <c r="J6" t="str" cm="1">
        <f t="array" ref="J6">_xlfn.IFS(I6&lt;120, "Weak", I6&lt;=200, "Moderate", I6&lt;=300, "Powerful", I6&gt;300, "Super")</f>
        <v>Moderate</v>
      </c>
      <c r="K6">
        <v>102.6</v>
      </c>
      <c r="L6">
        <v>68.2</v>
      </c>
      <c r="M6">
        <v>178</v>
      </c>
      <c r="N6">
        <v>2.9980000000000002</v>
      </c>
      <c r="O6">
        <v>16.399999999999999</v>
      </c>
      <c r="P6">
        <v>27</v>
      </c>
      <c r="Q6" s="1">
        <v>40824</v>
      </c>
      <c r="R6">
        <v>62.777639200000003</v>
      </c>
      <c r="T6" s="18" t="s">
        <v>30</v>
      </c>
      <c r="U6" s="19" t="str">
        <f t="shared" si="1"/>
        <v>High Sales</v>
      </c>
      <c r="V6" s="20" t="str">
        <f t="shared" si="2"/>
        <v>Century</v>
      </c>
      <c r="W6" s="17" t="s">
        <v>218</v>
      </c>
    </row>
    <row r="7" spans="1:25" x14ac:dyDescent="0.3">
      <c r="A7" t="s">
        <v>22</v>
      </c>
      <c r="B7" s="6" t="s">
        <v>24</v>
      </c>
      <c r="C7" s="6" t="str">
        <f t="shared" si="0"/>
        <v>Low Sales</v>
      </c>
      <c r="D7" s="2">
        <v>18.78</v>
      </c>
      <c r="E7" s="11">
        <v>23.555</v>
      </c>
      <c r="F7" t="s">
        <v>18</v>
      </c>
      <c r="G7">
        <v>33.950000000000003</v>
      </c>
      <c r="H7">
        <v>2.8</v>
      </c>
      <c r="I7">
        <v>200</v>
      </c>
      <c r="J7" t="str" cm="1">
        <f t="array" ref="J7">_xlfn.IFS(I7&lt;120, "Weak", I7&lt;=200, "Moderate", I7&lt;=300, "Powerful", I7&gt;300, "Super")</f>
        <v>Moderate</v>
      </c>
      <c r="K7">
        <v>108.7</v>
      </c>
      <c r="L7">
        <v>76.099999999999994</v>
      </c>
      <c r="M7">
        <v>192</v>
      </c>
      <c r="N7">
        <v>3.5609999999999999</v>
      </c>
      <c r="O7">
        <v>18.5</v>
      </c>
      <c r="P7">
        <v>22</v>
      </c>
      <c r="Q7" s="1">
        <v>40764</v>
      </c>
      <c r="R7">
        <v>84.565105020000004</v>
      </c>
      <c r="T7" s="18" t="s">
        <v>35</v>
      </c>
      <c r="U7" s="19" t="str">
        <f t="shared" si="1"/>
        <v>High Sales</v>
      </c>
      <c r="V7" s="20" t="str">
        <f t="shared" si="2"/>
        <v>DeVille</v>
      </c>
    </row>
    <row r="8" spans="1:25" x14ac:dyDescent="0.3">
      <c r="A8" t="s">
        <v>22</v>
      </c>
      <c r="B8" s="6" t="s">
        <v>25</v>
      </c>
      <c r="C8" s="6" t="str">
        <f t="shared" si="0"/>
        <v>Low Sales</v>
      </c>
      <c r="D8" s="2">
        <v>1.38</v>
      </c>
      <c r="E8" s="11">
        <v>39</v>
      </c>
      <c r="F8" t="s">
        <v>18</v>
      </c>
      <c r="G8">
        <v>62</v>
      </c>
      <c r="H8">
        <v>4.2</v>
      </c>
      <c r="I8">
        <v>310</v>
      </c>
      <c r="J8" t="str" cm="1">
        <f t="array" ref="J8">_xlfn.IFS(I8&lt;120, "Weak", I8&lt;=200, "Moderate", I8&lt;=300, "Powerful", I8&gt;300, "Super")</f>
        <v>Super</v>
      </c>
      <c r="K8">
        <v>113</v>
      </c>
      <c r="L8">
        <v>74</v>
      </c>
      <c r="M8">
        <v>198.2</v>
      </c>
      <c r="N8">
        <v>3.9020000000000001</v>
      </c>
      <c r="O8">
        <v>23.7</v>
      </c>
      <c r="P8">
        <v>21</v>
      </c>
      <c r="Q8" s="1">
        <v>40966</v>
      </c>
      <c r="R8">
        <v>134.65685819999999</v>
      </c>
      <c r="T8" s="18" t="s">
        <v>42</v>
      </c>
      <c r="U8" s="19" t="str">
        <f t="shared" si="1"/>
        <v>High Sales</v>
      </c>
      <c r="V8" s="20" t="str">
        <f t="shared" si="2"/>
        <v>Cavalier</v>
      </c>
    </row>
    <row r="9" spans="1:25" x14ac:dyDescent="0.3">
      <c r="A9" t="s">
        <v>26</v>
      </c>
      <c r="B9" s="6" t="s">
        <v>27</v>
      </c>
      <c r="C9" s="6" t="str">
        <f t="shared" si="0"/>
        <v>Low Sales</v>
      </c>
      <c r="D9" s="2">
        <v>19.747</v>
      </c>
      <c r="F9" t="s">
        <v>18</v>
      </c>
      <c r="G9">
        <v>26.99</v>
      </c>
      <c r="H9">
        <v>2.5</v>
      </c>
      <c r="I9">
        <v>170</v>
      </c>
      <c r="J9" t="str" cm="1">
        <f t="array" ref="J9">_xlfn.IFS(I9&lt;120, "Weak", I9&lt;=200, "Moderate", I9&lt;=300, "Powerful", I9&gt;300, "Super")</f>
        <v>Moderate</v>
      </c>
      <c r="K9">
        <v>107.3</v>
      </c>
      <c r="L9">
        <v>68.400000000000006</v>
      </c>
      <c r="M9">
        <v>176</v>
      </c>
      <c r="N9">
        <v>3.1789999999999998</v>
      </c>
      <c r="O9">
        <v>16.600000000000001</v>
      </c>
      <c r="P9">
        <v>26</v>
      </c>
      <c r="Q9" s="1">
        <v>40722</v>
      </c>
      <c r="R9">
        <v>71.191206710000003</v>
      </c>
      <c r="T9" s="18" t="s">
        <v>52</v>
      </c>
      <c r="U9" s="19" t="str">
        <f t="shared" si="1"/>
        <v>Low Sales</v>
      </c>
      <c r="V9" s="20" t="str">
        <f t="shared" si="2"/>
        <v>Sebring Coupe</v>
      </c>
    </row>
    <row r="10" spans="1:25" x14ac:dyDescent="0.3">
      <c r="A10" t="s">
        <v>26</v>
      </c>
      <c r="B10" s="6" t="s">
        <v>28</v>
      </c>
      <c r="C10" s="6" t="str">
        <f t="shared" si="0"/>
        <v>Low Sales</v>
      </c>
      <c r="D10" s="2">
        <v>9.2309999999999999</v>
      </c>
      <c r="E10" s="11">
        <v>28.675000000000001</v>
      </c>
      <c r="F10" t="s">
        <v>18</v>
      </c>
      <c r="G10">
        <v>33.4</v>
      </c>
      <c r="H10">
        <v>2.8</v>
      </c>
      <c r="I10">
        <v>193</v>
      </c>
      <c r="J10" t="str" cm="1">
        <f t="array" ref="J10">_xlfn.IFS(I10&lt;120, "Weak", I10&lt;=200, "Moderate", I10&lt;=300, "Powerful", I10&gt;300, "Super")</f>
        <v>Moderate</v>
      </c>
      <c r="K10">
        <v>107.3</v>
      </c>
      <c r="L10">
        <v>68.5</v>
      </c>
      <c r="M10">
        <v>176</v>
      </c>
      <c r="N10">
        <v>3.1970000000000001</v>
      </c>
      <c r="O10">
        <v>16.600000000000001</v>
      </c>
      <c r="P10">
        <v>24</v>
      </c>
      <c r="Q10" s="1">
        <v>40937</v>
      </c>
      <c r="R10">
        <v>81.877068559999998</v>
      </c>
      <c r="T10" s="18" t="s">
        <v>60</v>
      </c>
      <c r="U10" s="19" t="str">
        <f t="shared" si="1"/>
        <v>High Sales</v>
      </c>
      <c r="V10" s="20" t="str">
        <f t="shared" si="2"/>
        <v>Neon</v>
      </c>
    </row>
    <row r="11" spans="1:25" x14ac:dyDescent="0.3">
      <c r="A11" t="s">
        <v>26</v>
      </c>
      <c r="B11" s="6" t="s">
        <v>29</v>
      </c>
      <c r="C11" s="6" t="str">
        <f t="shared" si="0"/>
        <v>Low Sales</v>
      </c>
      <c r="D11" s="2">
        <v>17.527000000000001</v>
      </c>
      <c r="E11" s="11">
        <v>36.125</v>
      </c>
      <c r="F11" t="s">
        <v>18</v>
      </c>
      <c r="G11">
        <v>38.9</v>
      </c>
      <c r="H11">
        <v>2.8</v>
      </c>
      <c r="I11">
        <v>193</v>
      </c>
      <c r="J11" t="str" cm="1">
        <f t="array" ref="J11">_xlfn.IFS(I11&lt;120, "Weak", I11&lt;=200, "Moderate", I11&lt;=300, "Powerful", I11&gt;300, "Super")</f>
        <v>Moderate</v>
      </c>
      <c r="K11">
        <v>111.4</v>
      </c>
      <c r="L11">
        <v>70.900000000000006</v>
      </c>
      <c r="M11">
        <v>188</v>
      </c>
      <c r="N11">
        <v>3.472</v>
      </c>
      <c r="O11">
        <v>18.5</v>
      </c>
      <c r="P11">
        <v>25</v>
      </c>
      <c r="Q11" s="1">
        <v>40637</v>
      </c>
      <c r="R11">
        <v>83.998723799999993</v>
      </c>
      <c r="T11" s="18" t="s">
        <v>72</v>
      </c>
      <c r="U11" s="19" t="str">
        <f t="shared" si="1"/>
        <v>High Sales</v>
      </c>
      <c r="V11" s="20" t="str">
        <f t="shared" si="2"/>
        <v>Escort</v>
      </c>
    </row>
    <row r="12" spans="1:25" x14ac:dyDescent="0.3">
      <c r="A12" t="s">
        <v>30</v>
      </c>
      <c r="B12" s="6" t="s">
        <v>31</v>
      </c>
      <c r="C12" s="6" t="str">
        <f t="shared" si="0"/>
        <v>High Sales</v>
      </c>
      <c r="D12" s="2">
        <v>91.561000000000007</v>
      </c>
      <c r="E12" s="11">
        <v>12.475</v>
      </c>
      <c r="F12" t="s">
        <v>18</v>
      </c>
      <c r="G12">
        <v>21.975000000000001</v>
      </c>
      <c r="H12">
        <v>3.1</v>
      </c>
      <c r="I12">
        <v>175</v>
      </c>
      <c r="J12" t="str" cm="1">
        <f t="array" ref="J12">_xlfn.IFS(I12&lt;120, "Weak", I12&lt;=200, "Moderate", I12&lt;=300, "Powerful", I12&gt;300, "Super")</f>
        <v>Moderate</v>
      </c>
      <c r="K12">
        <v>109</v>
      </c>
      <c r="L12">
        <v>72.7</v>
      </c>
      <c r="M12">
        <v>194.6</v>
      </c>
      <c r="N12">
        <v>3.3679999999999999</v>
      </c>
      <c r="O12">
        <v>17.5</v>
      </c>
      <c r="P12">
        <v>25</v>
      </c>
      <c r="Q12" s="1">
        <v>40849</v>
      </c>
      <c r="R12">
        <v>71.181451319999994</v>
      </c>
      <c r="T12" s="18" t="s">
        <v>84</v>
      </c>
      <c r="U12" s="19" t="str">
        <f t="shared" si="1"/>
        <v>High Sales</v>
      </c>
      <c r="V12" s="20" t="str">
        <f t="shared" si="2"/>
        <v>Civic</v>
      </c>
      <c r="W12" s="39"/>
    </row>
    <row r="13" spans="1:25" x14ac:dyDescent="0.3">
      <c r="A13" t="s">
        <v>30</v>
      </c>
      <c r="B13" s="6" t="s">
        <v>32</v>
      </c>
      <c r="C13" s="6" t="str">
        <f t="shared" si="0"/>
        <v>Low Sales</v>
      </c>
      <c r="D13" s="2">
        <v>39.35</v>
      </c>
      <c r="E13" s="11">
        <v>13.74</v>
      </c>
      <c r="F13" t="s">
        <v>18</v>
      </c>
      <c r="G13">
        <v>25.3</v>
      </c>
      <c r="H13">
        <v>3.8</v>
      </c>
      <c r="I13">
        <v>240</v>
      </c>
      <c r="J13" t="str" cm="1">
        <f t="array" ref="J13">_xlfn.IFS(I13&lt;120, "Weak", I13&lt;=200, "Moderate", I13&lt;=300, "Powerful", I13&gt;300, "Super")</f>
        <v>Powerful</v>
      </c>
      <c r="K13">
        <v>109</v>
      </c>
      <c r="L13">
        <v>72.7</v>
      </c>
      <c r="M13">
        <v>196.2</v>
      </c>
      <c r="N13">
        <v>3.5430000000000001</v>
      </c>
      <c r="O13">
        <v>17.5</v>
      </c>
      <c r="P13">
        <v>23</v>
      </c>
      <c r="Q13" s="1">
        <v>40789</v>
      </c>
      <c r="R13">
        <v>95.636702529999994</v>
      </c>
      <c r="T13" s="18" t="s">
        <v>90</v>
      </c>
      <c r="U13" s="19" t="str">
        <f t="shared" si="1"/>
        <v>Low Sales</v>
      </c>
      <c r="V13" s="20" t="str">
        <f t="shared" si="2"/>
        <v>Accent</v>
      </c>
    </row>
    <row r="14" spans="1:25" x14ac:dyDescent="0.3">
      <c r="A14" t="s">
        <v>30</v>
      </c>
      <c r="B14" s="6" t="s">
        <v>33</v>
      </c>
      <c r="C14" s="6" t="str">
        <f t="shared" si="0"/>
        <v>Low Sales</v>
      </c>
      <c r="D14" s="2">
        <v>27.850999999999999</v>
      </c>
      <c r="E14" s="11">
        <v>20.190000000000001</v>
      </c>
      <c r="F14" t="s">
        <v>18</v>
      </c>
      <c r="G14">
        <v>31.965</v>
      </c>
      <c r="H14">
        <v>3.8</v>
      </c>
      <c r="I14">
        <v>205</v>
      </c>
      <c r="J14" t="str" cm="1">
        <f t="array" ref="J14">_xlfn.IFS(I14&lt;120, "Weak", I14&lt;=200, "Moderate", I14&lt;=300, "Powerful", I14&gt;300, "Super")</f>
        <v>Powerful</v>
      </c>
      <c r="K14">
        <v>113.8</v>
      </c>
      <c r="L14">
        <v>74.7</v>
      </c>
      <c r="M14">
        <v>206.8</v>
      </c>
      <c r="N14">
        <v>3.778</v>
      </c>
      <c r="O14">
        <v>18.5</v>
      </c>
      <c r="P14">
        <v>24</v>
      </c>
      <c r="Q14" s="1">
        <v>40991</v>
      </c>
      <c r="R14">
        <v>85.828408249999995</v>
      </c>
      <c r="T14" s="18" t="s">
        <v>94</v>
      </c>
      <c r="U14" s="19" t="str">
        <f t="shared" si="1"/>
        <v>Low Sales</v>
      </c>
      <c r="V14" s="20" t="str">
        <f t="shared" si="2"/>
        <v>I30</v>
      </c>
    </row>
    <row r="15" spans="1:25" x14ac:dyDescent="0.3">
      <c r="A15" t="s">
        <v>30</v>
      </c>
      <c r="B15" s="6" t="s">
        <v>34</v>
      </c>
      <c r="C15" s="6" t="str">
        <f t="shared" si="0"/>
        <v>High Sales</v>
      </c>
      <c r="D15" s="2">
        <v>83.257000000000005</v>
      </c>
      <c r="E15" s="11">
        <v>13.36</v>
      </c>
      <c r="F15" t="s">
        <v>18</v>
      </c>
      <c r="G15">
        <v>27.885000000000002</v>
      </c>
      <c r="H15">
        <v>3.8</v>
      </c>
      <c r="I15">
        <v>205</v>
      </c>
      <c r="J15" t="str" cm="1">
        <f t="array" ref="J15">_xlfn.IFS(I15&lt;120, "Weak", I15&lt;=200, "Moderate", I15&lt;=300, "Powerful", I15&gt;300, "Super")</f>
        <v>Powerful</v>
      </c>
      <c r="K15">
        <v>112.2</v>
      </c>
      <c r="L15">
        <v>73.5</v>
      </c>
      <c r="M15">
        <v>200</v>
      </c>
      <c r="N15">
        <v>3.5910000000000002</v>
      </c>
      <c r="O15">
        <v>17.5</v>
      </c>
      <c r="P15">
        <v>25</v>
      </c>
      <c r="Q15" s="1">
        <v>40747</v>
      </c>
      <c r="R15">
        <v>84.254525810000004</v>
      </c>
      <c r="T15" s="18" t="s">
        <v>96</v>
      </c>
      <c r="U15" s="19" t="str">
        <f t="shared" si="1"/>
        <v>Low Sales</v>
      </c>
      <c r="V15" s="20" t="str">
        <f t="shared" si="2"/>
        <v>S-Type</v>
      </c>
    </row>
    <row r="16" spans="1:25" x14ac:dyDescent="0.3">
      <c r="A16" t="s">
        <v>35</v>
      </c>
      <c r="B16" s="6" t="s">
        <v>36</v>
      </c>
      <c r="C16" s="6" t="str">
        <f t="shared" si="0"/>
        <v>High Sales</v>
      </c>
      <c r="D16" s="2">
        <v>63.728999999999999</v>
      </c>
      <c r="E16" s="11">
        <v>22.524999999999999</v>
      </c>
      <c r="F16" t="s">
        <v>18</v>
      </c>
      <c r="G16">
        <v>39.895000000000003</v>
      </c>
      <c r="H16">
        <v>4.5999999999999996</v>
      </c>
      <c r="I16">
        <v>275</v>
      </c>
      <c r="J16" t="str" cm="1">
        <f t="array" ref="J16">_xlfn.IFS(I16&lt;120, "Weak", I16&lt;=200, "Moderate", I16&lt;=300, "Powerful", I16&gt;300, "Super")</f>
        <v>Powerful</v>
      </c>
      <c r="K16">
        <v>115.3</v>
      </c>
      <c r="L16">
        <v>74.5</v>
      </c>
      <c r="M16">
        <v>207.2</v>
      </c>
      <c r="N16">
        <v>3.9780000000000002</v>
      </c>
      <c r="O16">
        <v>18.5</v>
      </c>
      <c r="P16">
        <v>22</v>
      </c>
      <c r="Q16" s="1">
        <v>40962</v>
      </c>
      <c r="R16">
        <v>113.85459760000001</v>
      </c>
      <c r="T16" s="18" t="s">
        <v>98</v>
      </c>
      <c r="U16" s="19" t="str">
        <f t="shared" si="1"/>
        <v>High Sales</v>
      </c>
      <c r="V16" s="20" t="str">
        <f t="shared" si="2"/>
        <v>Wrangler</v>
      </c>
    </row>
    <row r="17" spans="1:22" x14ac:dyDescent="0.3">
      <c r="A17" t="s">
        <v>35</v>
      </c>
      <c r="B17" s="6" t="s">
        <v>37</v>
      </c>
      <c r="C17" s="6" t="str">
        <f t="shared" si="0"/>
        <v>Low Sales</v>
      </c>
      <c r="D17" s="2">
        <v>15.943</v>
      </c>
      <c r="E17" s="11">
        <v>27.1</v>
      </c>
      <c r="F17" t="s">
        <v>18</v>
      </c>
      <c r="G17">
        <v>44.475000000000001</v>
      </c>
      <c r="H17">
        <v>4.5999999999999996</v>
      </c>
      <c r="I17">
        <v>275</v>
      </c>
      <c r="J17" t="str" cm="1">
        <f t="array" ref="J17">_xlfn.IFS(I17&lt;120, "Weak", I17&lt;=200, "Moderate", I17&lt;=300, "Powerful", I17&gt;300, "Super")</f>
        <v>Powerful</v>
      </c>
      <c r="K17">
        <v>112.2</v>
      </c>
      <c r="L17">
        <v>75</v>
      </c>
      <c r="M17">
        <v>201</v>
      </c>
      <c r="O17">
        <v>18.5</v>
      </c>
      <c r="P17">
        <v>22</v>
      </c>
      <c r="Q17" s="1">
        <v>40662</v>
      </c>
      <c r="R17">
        <v>115.6213578</v>
      </c>
      <c r="T17" s="18" t="s">
        <v>102</v>
      </c>
      <c r="U17" s="19" t="str">
        <f t="shared" si="1"/>
        <v>Low Sales</v>
      </c>
      <c r="V17" s="20" t="str">
        <f t="shared" si="2"/>
        <v>ES300</v>
      </c>
    </row>
    <row r="18" spans="1:22" x14ac:dyDescent="0.3">
      <c r="A18" t="s">
        <v>35</v>
      </c>
      <c r="B18" s="6" t="s">
        <v>38</v>
      </c>
      <c r="C18" s="6" t="str">
        <f t="shared" si="0"/>
        <v>Low Sales</v>
      </c>
      <c r="D18" s="2">
        <v>6.5359999999999996</v>
      </c>
      <c r="E18" s="11">
        <v>25.725000000000001</v>
      </c>
      <c r="F18" t="s">
        <v>18</v>
      </c>
      <c r="G18">
        <v>39.664999999999999</v>
      </c>
      <c r="H18">
        <v>4.5999999999999996</v>
      </c>
      <c r="I18">
        <v>275</v>
      </c>
      <c r="J18" t="str" cm="1">
        <f t="array" ref="J18">_xlfn.IFS(I18&lt;120, "Weak", I18&lt;=200, "Moderate", I18&lt;=300, "Powerful", I18&gt;300, "Super")</f>
        <v>Powerful</v>
      </c>
      <c r="K18">
        <v>108</v>
      </c>
      <c r="L18">
        <v>75.5</v>
      </c>
      <c r="M18">
        <v>200.6</v>
      </c>
      <c r="N18">
        <v>3.843</v>
      </c>
      <c r="O18">
        <v>19</v>
      </c>
      <c r="P18">
        <v>22</v>
      </c>
      <c r="Q18" s="1">
        <v>40874</v>
      </c>
      <c r="R18">
        <v>113.7658739</v>
      </c>
      <c r="T18" s="18" t="s">
        <v>109</v>
      </c>
      <c r="U18" s="19" t="str">
        <f t="shared" si="1"/>
        <v>Low Sales</v>
      </c>
      <c r="V18" s="20" t="str">
        <f t="shared" si="2"/>
        <v>Continental</v>
      </c>
    </row>
    <row r="19" spans="1:22" x14ac:dyDescent="0.3">
      <c r="A19" t="s">
        <v>35</v>
      </c>
      <c r="B19" s="6" t="s">
        <v>39</v>
      </c>
      <c r="C19" s="6" t="str">
        <f t="shared" si="0"/>
        <v>Low Sales</v>
      </c>
      <c r="D19" s="2">
        <v>11.185</v>
      </c>
      <c r="E19" s="11">
        <v>18.225000000000001</v>
      </c>
      <c r="F19" t="s">
        <v>18</v>
      </c>
      <c r="G19">
        <v>31.01</v>
      </c>
      <c r="H19">
        <v>3</v>
      </c>
      <c r="I19">
        <v>200</v>
      </c>
      <c r="J19" t="str" cm="1">
        <f t="array" ref="J19">_xlfn.IFS(I19&lt;120, "Weak", I19&lt;=200, "Moderate", I19&lt;=300, "Powerful", I19&gt;300, "Super")</f>
        <v>Moderate</v>
      </c>
      <c r="K19">
        <v>107.4</v>
      </c>
      <c r="L19">
        <v>70.3</v>
      </c>
      <c r="M19">
        <v>194.8</v>
      </c>
      <c r="N19">
        <v>3.77</v>
      </c>
      <c r="O19">
        <v>18</v>
      </c>
      <c r="P19">
        <v>22</v>
      </c>
      <c r="Q19" s="1">
        <v>40814</v>
      </c>
      <c r="R19">
        <v>83.483093580000002</v>
      </c>
      <c r="T19" s="18" t="s">
        <v>113</v>
      </c>
      <c r="U19" s="19" t="str">
        <f t="shared" si="1"/>
        <v>Low Sales</v>
      </c>
      <c r="V19" s="20" t="str">
        <f t="shared" si="2"/>
        <v>Mirage</v>
      </c>
    </row>
    <row r="20" spans="1:22" x14ac:dyDescent="0.3">
      <c r="A20" t="s">
        <v>35</v>
      </c>
      <c r="B20" s="6" t="s">
        <v>40</v>
      </c>
      <c r="C20" s="6" t="str">
        <f t="shared" si="0"/>
        <v>Low Sales</v>
      </c>
      <c r="D20" s="2">
        <v>14.785</v>
      </c>
      <c r="F20" t="s">
        <v>41</v>
      </c>
      <c r="G20">
        <v>46.225000000000001</v>
      </c>
      <c r="H20">
        <v>5.7</v>
      </c>
      <c r="I20">
        <v>255</v>
      </c>
      <c r="J20" t="str" cm="1">
        <f t="array" ref="J20">_xlfn.IFS(I20&lt;120, "Weak", I20&lt;=200, "Moderate", I20&lt;=300, "Powerful", I20&gt;300, "Super")</f>
        <v>Powerful</v>
      </c>
      <c r="K20">
        <v>117.5</v>
      </c>
      <c r="L20">
        <v>77</v>
      </c>
      <c r="M20">
        <v>201.2</v>
      </c>
      <c r="N20">
        <v>5.5720000000000001</v>
      </c>
      <c r="O20">
        <v>30</v>
      </c>
      <c r="P20">
        <v>15</v>
      </c>
      <c r="Q20" s="1">
        <v>41016</v>
      </c>
      <c r="R20">
        <v>109.5091165</v>
      </c>
      <c r="T20" s="18" t="s">
        <v>121</v>
      </c>
      <c r="U20" s="19" t="str">
        <f t="shared" si="1"/>
        <v>Low Sales</v>
      </c>
      <c r="V20" s="20" t="str">
        <f t="shared" si="2"/>
        <v>Mystique</v>
      </c>
    </row>
    <row r="21" spans="1:22" x14ac:dyDescent="0.3">
      <c r="A21" t="s">
        <v>42</v>
      </c>
      <c r="B21" s="6" t="s">
        <v>43</v>
      </c>
      <c r="C21" s="6" t="str">
        <f t="shared" si="0"/>
        <v>High Sales</v>
      </c>
      <c r="D21" s="2">
        <v>145.51900000000001</v>
      </c>
      <c r="E21" s="11">
        <v>9.25</v>
      </c>
      <c r="F21" t="s">
        <v>18</v>
      </c>
      <c r="G21">
        <v>13.26</v>
      </c>
      <c r="H21">
        <v>2.2000000000000002</v>
      </c>
      <c r="I21">
        <v>115</v>
      </c>
      <c r="J21" t="str" cm="1">
        <f t="array" ref="J21">_xlfn.IFS(I21&lt;120, "Weak", I21&lt;=200, "Moderate", I21&lt;=300, "Powerful", I21&gt;300, "Super")</f>
        <v>Weak</v>
      </c>
      <c r="K21">
        <v>104.1</v>
      </c>
      <c r="L21">
        <v>67.900000000000006</v>
      </c>
      <c r="M21">
        <v>180.9</v>
      </c>
      <c r="N21">
        <v>2.6760000000000002</v>
      </c>
      <c r="O21">
        <v>14.3</v>
      </c>
      <c r="P21">
        <v>27</v>
      </c>
      <c r="Q21" s="1">
        <v>40772</v>
      </c>
      <c r="R21">
        <v>46.363347470000001</v>
      </c>
      <c r="T21" s="18" t="s">
        <v>128</v>
      </c>
      <c r="U21" s="19" t="str">
        <f t="shared" si="1"/>
        <v>Low Sales</v>
      </c>
      <c r="V21" s="20" t="str">
        <f t="shared" si="2"/>
        <v>C-Class</v>
      </c>
    </row>
    <row r="22" spans="1:22" x14ac:dyDescent="0.3">
      <c r="A22" t="s">
        <v>42</v>
      </c>
      <c r="B22" s="6" t="s">
        <v>44</v>
      </c>
      <c r="C22" s="6" t="str">
        <f t="shared" si="0"/>
        <v>High Sales</v>
      </c>
      <c r="D22" s="2">
        <v>135.126</v>
      </c>
      <c r="E22" s="11">
        <v>11.225</v>
      </c>
      <c r="F22" t="s">
        <v>18</v>
      </c>
      <c r="G22">
        <v>16.535</v>
      </c>
      <c r="H22">
        <v>3.1</v>
      </c>
      <c r="I22">
        <v>170</v>
      </c>
      <c r="J22" t="str" cm="1">
        <f t="array" ref="J22">_xlfn.IFS(I22&lt;120, "Weak", I22&lt;=200, "Moderate", I22&lt;=300, "Powerful", I22&gt;300, "Super")</f>
        <v>Moderate</v>
      </c>
      <c r="K22">
        <v>107</v>
      </c>
      <c r="L22">
        <v>69.400000000000006</v>
      </c>
      <c r="M22">
        <v>190.4</v>
      </c>
      <c r="N22">
        <v>3.0510000000000002</v>
      </c>
      <c r="O22">
        <v>15</v>
      </c>
      <c r="P22">
        <v>25</v>
      </c>
      <c r="Q22" s="1">
        <v>40987</v>
      </c>
      <c r="R22">
        <v>67.314462160000005</v>
      </c>
      <c r="T22" s="18" t="s">
        <v>138</v>
      </c>
      <c r="U22" s="19" t="str">
        <f t="shared" si="1"/>
        <v>Low Sales</v>
      </c>
      <c r="V22" s="20" t="str">
        <f t="shared" si="2"/>
        <v>Sentra</v>
      </c>
    </row>
    <row r="23" spans="1:22" x14ac:dyDescent="0.3">
      <c r="A23" t="s">
        <v>42</v>
      </c>
      <c r="B23" s="6" t="s">
        <v>45</v>
      </c>
      <c r="C23" s="6" t="str">
        <f t="shared" si="0"/>
        <v>Low Sales</v>
      </c>
      <c r="D23" s="2">
        <v>24.629000000000001</v>
      </c>
      <c r="E23" s="11">
        <v>10.31</v>
      </c>
      <c r="F23" t="s">
        <v>18</v>
      </c>
      <c r="G23">
        <v>18.89</v>
      </c>
      <c r="H23">
        <v>3.1</v>
      </c>
      <c r="I23">
        <v>175</v>
      </c>
      <c r="J23" t="str" cm="1">
        <f t="array" ref="J23">_xlfn.IFS(I23&lt;120, "Weak", I23&lt;=200, "Moderate", I23&lt;=300, "Powerful", I23&gt;300, "Super")</f>
        <v>Moderate</v>
      </c>
      <c r="K23">
        <v>107.5</v>
      </c>
      <c r="L23">
        <v>72.5</v>
      </c>
      <c r="M23">
        <v>200.9</v>
      </c>
      <c r="N23">
        <v>3.33</v>
      </c>
      <c r="O23">
        <v>16.600000000000001</v>
      </c>
      <c r="P23">
        <v>25</v>
      </c>
      <c r="Q23" s="1">
        <v>40687</v>
      </c>
      <c r="R23">
        <v>69.991395600000004</v>
      </c>
      <c r="T23" s="18" t="s">
        <v>146</v>
      </c>
      <c r="U23" s="19" t="str">
        <f t="shared" si="1"/>
        <v>Low Sales</v>
      </c>
      <c r="V23" s="20" t="str">
        <f t="shared" si="2"/>
        <v>Cutlass</v>
      </c>
    </row>
    <row r="24" spans="1:22" x14ac:dyDescent="0.3">
      <c r="A24" t="s">
        <v>42</v>
      </c>
      <c r="B24" s="6" t="s">
        <v>46</v>
      </c>
      <c r="C24" s="6" t="str">
        <f t="shared" si="0"/>
        <v>Low Sales</v>
      </c>
      <c r="D24" s="2">
        <v>42.593000000000004</v>
      </c>
      <c r="E24" s="11">
        <v>11.525</v>
      </c>
      <c r="F24" t="s">
        <v>18</v>
      </c>
      <c r="G24">
        <v>19.39</v>
      </c>
      <c r="H24">
        <v>3.4</v>
      </c>
      <c r="I24">
        <v>180</v>
      </c>
      <c r="J24" t="str" cm="1">
        <f t="array" ref="J24">_xlfn.IFS(I24&lt;120, "Weak", I24&lt;=200, "Moderate", I24&lt;=300, "Powerful", I24&gt;300, "Super")</f>
        <v>Moderate</v>
      </c>
      <c r="K24">
        <v>110.5</v>
      </c>
      <c r="L24">
        <v>72.7</v>
      </c>
      <c r="M24">
        <v>197.9</v>
      </c>
      <c r="N24">
        <v>3.34</v>
      </c>
      <c r="O24">
        <v>17</v>
      </c>
      <c r="P24">
        <v>27</v>
      </c>
      <c r="Q24" s="1">
        <v>40899</v>
      </c>
      <c r="R24">
        <v>72.030917189999997</v>
      </c>
      <c r="T24" s="18" t="s">
        <v>153</v>
      </c>
      <c r="U24" s="19" t="str">
        <f t="shared" si="1"/>
        <v>Low Sales</v>
      </c>
      <c r="V24" s="20" t="str">
        <f t="shared" si="2"/>
        <v>Neon</v>
      </c>
    </row>
    <row r="25" spans="1:22" x14ac:dyDescent="0.3">
      <c r="A25" t="s">
        <v>42</v>
      </c>
      <c r="B25" s="6" t="s">
        <v>47</v>
      </c>
      <c r="C25" s="6" t="str">
        <f t="shared" si="0"/>
        <v>Low Sales</v>
      </c>
      <c r="D25" s="2">
        <v>26.402000000000001</v>
      </c>
      <c r="E25" s="11">
        <v>13.025</v>
      </c>
      <c r="F25" t="s">
        <v>18</v>
      </c>
      <c r="G25">
        <v>24.34</v>
      </c>
      <c r="H25">
        <v>3.8</v>
      </c>
      <c r="I25">
        <v>200</v>
      </c>
      <c r="J25" t="str" cm="1">
        <f t="array" ref="J25">_xlfn.IFS(I25&lt;120, "Weak", I25&lt;=200, "Moderate", I25&lt;=300, "Powerful", I25&gt;300, "Super")</f>
        <v>Moderate</v>
      </c>
      <c r="K25">
        <v>101.1</v>
      </c>
      <c r="L25">
        <v>74.099999999999994</v>
      </c>
      <c r="M25">
        <v>193.2</v>
      </c>
      <c r="N25">
        <v>3.5</v>
      </c>
      <c r="O25">
        <v>16.8</v>
      </c>
      <c r="P25">
        <v>25</v>
      </c>
      <c r="Q25" s="1">
        <v>40839</v>
      </c>
      <c r="R25">
        <v>81.118543329999994</v>
      </c>
      <c r="T25" s="18" t="s">
        <v>157</v>
      </c>
      <c r="U25" s="19" t="str">
        <f t="shared" si="1"/>
        <v>High Sales</v>
      </c>
      <c r="V25" s="20" t="str">
        <f t="shared" si="2"/>
        <v>Sunfire</v>
      </c>
    </row>
    <row r="26" spans="1:22" x14ac:dyDescent="0.3">
      <c r="A26" t="s">
        <v>42</v>
      </c>
      <c r="B26" s="6" t="s">
        <v>48</v>
      </c>
      <c r="C26" s="6" t="str">
        <f t="shared" si="0"/>
        <v>Low Sales</v>
      </c>
      <c r="D26" s="2">
        <v>17.946999999999999</v>
      </c>
      <c r="E26" s="11">
        <v>36.225000000000001</v>
      </c>
      <c r="F26" t="s">
        <v>18</v>
      </c>
      <c r="G26">
        <v>45.704999999999998</v>
      </c>
      <c r="H26">
        <v>5.7</v>
      </c>
      <c r="I26">
        <v>345</v>
      </c>
      <c r="J26" t="str" cm="1">
        <f t="array" ref="J26">_xlfn.IFS(I26&lt;120, "Weak", I26&lt;=200, "Moderate", I26&lt;=300, "Powerful", I26&gt;300, "Super")</f>
        <v>Super</v>
      </c>
      <c r="K26">
        <v>104.5</v>
      </c>
      <c r="L26">
        <v>73.599999999999994</v>
      </c>
      <c r="M26">
        <v>179.7</v>
      </c>
      <c r="N26">
        <v>3.21</v>
      </c>
      <c r="O26">
        <v>19.100000000000001</v>
      </c>
      <c r="P26">
        <v>22</v>
      </c>
      <c r="Q26" s="1">
        <v>41041</v>
      </c>
      <c r="R26">
        <v>141.14115000000001</v>
      </c>
      <c r="T26" s="18" t="s">
        <v>164</v>
      </c>
      <c r="U26" s="19" t="str">
        <f t="shared" si="1"/>
        <v>Low Sales</v>
      </c>
      <c r="V26" s="20" t="str">
        <f t="shared" si="2"/>
        <v>Boxter</v>
      </c>
    </row>
    <row r="27" spans="1:22" x14ac:dyDescent="0.3">
      <c r="A27" t="s">
        <v>42</v>
      </c>
      <c r="B27" s="6" t="s">
        <v>49</v>
      </c>
      <c r="C27" s="6" t="str">
        <f t="shared" si="0"/>
        <v>Low Sales</v>
      </c>
      <c r="D27" s="2">
        <v>32.298999999999999</v>
      </c>
      <c r="E27" s="11">
        <v>9.125</v>
      </c>
      <c r="F27" t="s">
        <v>18</v>
      </c>
      <c r="G27">
        <v>13.96</v>
      </c>
      <c r="H27">
        <v>1.8</v>
      </c>
      <c r="I27">
        <v>120</v>
      </c>
      <c r="J27" t="str" cm="1">
        <f t="array" ref="J27">_xlfn.IFS(I27&lt;120, "Weak", I27&lt;=200, "Moderate", I27&lt;=300, "Powerful", I27&gt;300, "Super")</f>
        <v>Moderate</v>
      </c>
      <c r="K27">
        <v>97.1</v>
      </c>
      <c r="L27">
        <v>66.7</v>
      </c>
      <c r="M27">
        <v>174.3</v>
      </c>
      <c r="N27">
        <v>2.3980000000000001</v>
      </c>
      <c r="O27">
        <v>13.2</v>
      </c>
      <c r="P27">
        <v>33</v>
      </c>
      <c r="Q27" s="1">
        <v>40797</v>
      </c>
      <c r="R27">
        <v>48.297636099999998</v>
      </c>
      <c r="T27" s="18" t="s">
        <v>168</v>
      </c>
      <c r="U27" s="19" t="str">
        <f t="shared" si="1"/>
        <v>Low Sales</v>
      </c>
      <c r="V27" s="20" t="str">
        <f t="shared" si="2"/>
        <v>Tacoma</v>
      </c>
    </row>
    <row r="28" spans="1:22" x14ac:dyDescent="0.3">
      <c r="A28" t="s">
        <v>42</v>
      </c>
      <c r="B28" s="6" t="s">
        <v>50</v>
      </c>
      <c r="C28" s="6" t="str">
        <f t="shared" si="0"/>
        <v>Low Sales</v>
      </c>
      <c r="D28" s="2">
        <v>21.855</v>
      </c>
      <c r="E28" s="11">
        <v>5.16</v>
      </c>
      <c r="F28" t="s">
        <v>18</v>
      </c>
      <c r="G28">
        <v>9.2349999999999994</v>
      </c>
      <c r="H28">
        <v>1</v>
      </c>
      <c r="I28">
        <v>55</v>
      </c>
      <c r="J28" t="str" cm="1">
        <f t="array" ref="J28">_xlfn.IFS(I28&lt;120, "Weak", I28&lt;=200, "Moderate", I28&lt;=300, "Powerful", I28&gt;300, "Super")</f>
        <v>Weak</v>
      </c>
      <c r="K28">
        <v>93.1</v>
      </c>
      <c r="L28">
        <v>62.6</v>
      </c>
      <c r="M28">
        <v>149.4</v>
      </c>
      <c r="N28">
        <v>1.895</v>
      </c>
      <c r="O28">
        <v>10.3</v>
      </c>
      <c r="P28">
        <v>45</v>
      </c>
      <c r="Q28" s="1">
        <v>41012</v>
      </c>
      <c r="R28">
        <v>23.276272330000001</v>
      </c>
      <c r="T28" s="18" t="s">
        <v>169</v>
      </c>
      <c r="U28" s="19" t="str">
        <f t="shared" si="1"/>
        <v>High Sales</v>
      </c>
      <c r="V28" s="20" t="str">
        <f t="shared" si="2"/>
        <v>SL</v>
      </c>
    </row>
    <row r="29" spans="1:22" x14ac:dyDescent="0.3">
      <c r="A29" t="s">
        <v>42</v>
      </c>
      <c r="B29" s="6" t="s">
        <v>51</v>
      </c>
      <c r="C29" s="6" t="str">
        <f t="shared" si="0"/>
        <v>High Sales</v>
      </c>
      <c r="D29" s="2">
        <v>107.995</v>
      </c>
      <c r="F29" t="s">
        <v>18</v>
      </c>
      <c r="G29">
        <v>18.89</v>
      </c>
      <c r="H29">
        <v>3.4</v>
      </c>
      <c r="I29">
        <v>180</v>
      </c>
      <c r="J29" t="str" cm="1">
        <f t="array" ref="J29">_xlfn.IFS(I29&lt;120, "Weak", I29&lt;=200, "Moderate", I29&lt;=300, "Powerful", I29&gt;300, "Super")</f>
        <v>Moderate</v>
      </c>
      <c r="K29">
        <v>110.5</v>
      </c>
      <c r="L29">
        <v>73</v>
      </c>
      <c r="M29">
        <v>200</v>
      </c>
      <c r="N29">
        <v>3.3889999999999998</v>
      </c>
      <c r="O29">
        <v>17</v>
      </c>
      <c r="P29">
        <v>27</v>
      </c>
      <c r="Q29" s="1">
        <v>40712</v>
      </c>
      <c r="R29">
        <v>71.838039440000003</v>
      </c>
      <c r="T29" s="18" t="s">
        <v>175</v>
      </c>
      <c r="U29" s="19" t="str">
        <f t="shared" si="1"/>
        <v>Low Sales</v>
      </c>
      <c r="V29" s="20" t="str">
        <f t="shared" si="2"/>
        <v>Outback</v>
      </c>
    </row>
    <row r="30" spans="1:22" x14ac:dyDescent="0.3">
      <c r="A30" t="s">
        <v>52</v>
      </c>
      <c r="B30" s="6" t="s">
        <v>53</v>
      </c>
      <c r="C30" s="6" t="str">
        <f t="shared" si="0"/>
        <v>Low Sales</v>
      </c>
      <c r="D30" s="2">
        <v>7.8540000000000001</v>
      </c>
      <c r="E30" s="11">
        <v>12.36</v>
      </c>
      <c r="F30" t="s">
        <v>18</v>
      </c>
      <c r="G30">
        <v>19.84</v>
      </c>
      <c r="H30">
        <v>2.5</v>
      </c>
      <c r="I30">
        <v>163</v>
      </c>
      <c r="J30" t="str" cm="1">
        <f t="array" ref="J30">_xlfn.IFS(I30&lt;120, "Weak", I30&lt;=200, "Moderate", I30&lt;=300, "Powerful", I30&gt;300, "Super")</f>
        <v>Moderate</v>
      </c>
      <c r="K30">
        <v>103.7</v>
      </c>
      <c r="L30">
        <v>69.7</v>
      </c>
      <c r="M30">
        <v>190.9</v>
      </c>
      <c r="N30">
        <v>2.9670000000000001</v>
      </c>
      <c r="O30">
        <v>15.9</v>
      </c>
      <c r="P30">
        <v>24</v>
      </c>
      <c r="Q30" s="1">
        <v>40924</v>
      </c>
      <c r="R30">
        <v>65.957183959999995</v>
      </c>
      <c r="T30" s="18" t="s">
        <v>178</v>
      </c>
      <c r="U30" s="19" t="str">
        <f t="shared" si="1"/>
        <v>High Sales</v>
      </c>
      <c r="V30" s="20" t="str">
        <f t="shared" si="2"/>
        <v>Corolla</v>
      </c>
    </row>
    <row r="31" spans="1:22" x14ac:dyDescent="0.3">
      <c r="A31" t="s">
        <v>52</v>
      </c>
      <c r="B31" s="6" t="s">
        <v>54</v>
      </c>
      <c r="C31" s="6" t="str">
        <f t="shared" si="0"/>
        <v>Low Sales</v>
      </c>
      <c r="D31" s="2">
        <v>32.774999999999999</v>
      </c>
      <c r="E31" s="11">
        <v>14.18</v>
      </c>
      <c r="F31" t="s">
        <v>18</v>
      </c>
      <c r="G31">
        <v>24.495000000000001</v>
      </c>
      <c r="H31">
        <v>2.5</v>
      </c>
      <c r="I31">
        <v>168</v>
      </c>
      <c r="J31" t="str" cm="1">
        <f t="array" ref="J31">_xlfn.IFS(I31&lt;120, "Weak", I31&lt;=200, "Moderate", I31&lt;=300, "Powerful", I31&gt;300, "Super")</f>
        <v>Moderate</v>
      </c>
      <c r="K31">
        <v>106</v>
      </c>
      <c r="L31">
        <v>69.2</v>
      </c>
      <c r="M31">
        <v>193</v>
      </c>
      <c r="N31">
        <v>3.3319999999999999</v>
      </c>
      <c r="O31">
        <v>16</v>
      </c>
      <c r="P31">
        <v>24</v>
      </c>
      <c r="Q31" s="1">
        <v>40864</v>
      </c>
      <c r="R31">
        <v>69.521355049999997</v>
      </c>
      <c r="T31" s="18" t="s">
        <v>188</v>
      </c>
      <c r="U31" s="19" t="str">
        <f t="shared" si="1"/>
        <v>Low Sales</v>
      </c>
      <c r="V31" s="20" t="str">
        <f t="shared" si="2"/>
        <v>Golf</v>
      </c>
    </row>
    <row r="32" spans="1:22" x14ac:dyDescent="0.3">
      <c r="A32" t="s">
        <v>52</v>
      </c>
      <c r="B32" s="6" t="s">
        <v>55</v>
      </c>
      <c r="C32" s="6" t="str">
        <f t="shared" si="0"/>
        <v>Low Sales</v>
      </c>
      <c r="D32" s="2">
        <v>31.148</v>
      </c>
      <c r="E32" s="11">
        <v>13.725</v>
      </c>
      <c r="F32" t="s">
        <v>18</v>
      </c>
      <c r="G32">
        <v>22.245000000000001</v>
      </c>
      <c r="H32">
        <v>2.7</v>
      </c>
      <c r="I32">
        <v>200</v>
      </c>
      <c r="J32" t="str" cm="1">
        <f t="array" ref="J32">_xlfn.IFS(I32&lt;120, "Weak", I32&lt;=200, "Moderate", I32&lt;=300, "Powerful", I32&gt;300, "Super")</f>
        <v>Moderate</v>
      </c>
      <c r="K32">
        <v>113</v>
      </c>
      <c r="L32">
        <v>74.400000000000006</v>
      </c>
      <c r="M32">
        <v>209.1</v>
      </c>
      <c r="N32">
        <v>3.452</v>
      </c>
      <c r="O32">
        <v>17</v>
      </c>
      <c r="P32">
        <v>26</v>
      </c>
      <c r="Q32" s="1">
        <v>41066</v>
      </c>
      <c r="R32">
        <v>80.02378204</v>
      </c>
      <c r="T32" s="18" t="s">
        <v>195</v>
      </c>
      <c r="U32" s="19" t="str">
        <f t="shared" si="1"/>
        <v>Low Sales</v>
      </c>
      <c r="V32" s="20" t="str">
        <f t="shared" si="2"/>
        <v>S40</v>
      </c>
    </row>
    <row r="33" spans="1:18" x14ac:dyDescent="0.3">
      <c r="A33" t="s">
        <v>52</v>
      </c>
      <c r="B33" s="6" t="s">
        <v>56</v>
      </c>
      <c r="C33" s="6" t="str">
        <f t="shared" si="0"/>
        <v>Low Sales</v>
      </c>
      <c r="D33" s="2">
        <v>32.305999999999997</v>
      </c>
      <c r="E33" s="11">
        <v>12.64</v>
      </c>
      <c r="F33" t="s">
        <v>18</v>
      </c>
      <c r="G33">
        <v>16.48</v>
      </c>
      <c r="H33">
        <v>2</v>
      </c>
      <c r="I33">
        <v>132</v>
      </c>
      <c r="J33" t="str" cm="1">
        <f t="array" ref="J33">_xlfn.IFS(I33&lt;120, "Weak", I33&lt;=200, "Moderate", I33&lt;=300, "Powerful", I33&gt;300, "Super")</f>
        <v>Moderate</v>
      </c>
      <c r="K33">
        <v>108</v>
      </c>
      <c r="L33">
        <v>71</v>
      </c>
      <c r="M33">
        <v>186</v>
      </c>
      <c r="N33">
        <v>2.911</v>
      </c>
      <c r="O33">
        <v>16</v>
      </c>
      <c r="P33">
        <v>27</v>
      </c>
      <c r="Q33" s="1">
        <v>40822</v>
      </c>
      <c r="R33">
        <v>53.566199869999998</v>
      </c>
    </row>
    <row r="34" spans="1:18" x14ac:dyDescent="0.3">
      <c r="A34" t="s">
        <v>52</v>
      </c>
      <c r="B34" s="6" t="s">
        <v>57</v>
      </c>
      <c r="C34" s="6" t="str">
        <f t="shared" ref="C34:C65" si="3">IF(D34&gt;50,"High Sales","Low Sales")</f>
        <v>Low Sales</v>
      </c>
      <c r="D34" s="2">
        <v>13.462</v>
      </c>
      <c r="E34" s="11">
        <v>17.324999999999999</v>
      </c>
      <c r="F34" t="s">
        <v>18</v>
      </c>
      <c r="G34">
        <v>28.34</v>
      </c>
      <c r="H34">
        <v>3.5</v>
      </c>
      <c r="I34">
        <v>253</v>
      </c>
      <c r="J34" t="str" cm="1">
        <f t="array" ref="J34">_xlfn.IFS(I34&lt;120, "Weak", I34&lt;=200, "Moderate", I34&lt;=300, "Powerful", I34&gt;300, "Super")</f>
        <v>Powerful</v>
      </c>
      <c r="K34">
        <v>113</v>
      </c>
      <c r="L34">
        <v>74.400000000000006</v>
      </c>
      <c r="M34">
        <v>207.7</v>
      </c>
      <c r="N34">
        <v>3.5640000000000001</v>
      </c>
      <c r="O34">
        <v>17</v>
      </c>
      <c r="P34">
        <v>23</v>
      </c>
      <c r="Q34" s="1">
        <v>41037</v>
      </c>
      <c r="R34">
        <v>101.3292807</v>
      </c>
    </row>
    <row r="35" spans="1:18" x14ac:dyDescent="0.3">
      <c r="A35" t="s">
        <v>52</v>
      </c>
      <c r="B35" s="6" t="s">
        <v>58</v>
      </c>
      <c r="C35" s="6" t="str">
        <f t="shared" si="3"/>
        <v>High Sales</v>
      </c>
      <c r="D35" s="2">
        <v>53.48</v>
      </c>
      <c r="E35" s="11">
        <v>19.54</v>
      </c>
      <c r="F35" t="s">
        <v>41</v>
      </c>
      <c r="J35" t="str" cm="1">
        <f t="array" ref="J35">_xlfn.IFS(I35&lt;120, "Weak", I35&lt;=200, "Moderate", I35&lt;=300, "Powerful", I35&gt;300, "Super")</f>
        <v>Weak</v>
      </c>
      <c r="Q35" s="1">
        <v>40737</v>
      </c>
    </row>
    <row r="36" spans="1:18" x14ac:dyDescent="0.3">
      <c r="A36" t="s">
        <v>52</v>
      </c>
      <c r="B36" s="6" t="s">
        <v>59</v>
      </c>
      <c r="C36" s="6" t="str">
        <f t="shared" si="3"/>
        <v>Low Sales</v>
      </c>
      <c r="D36" s="2">
        <v>30.696000000000002</v>
      </c>
      <c r="F36" t="s">
        <v>18</v>
      </c>
      <c r="G36">
        <v>29.184999999999999</v>
      </c>
      <c r="H36">
        <v>3.5</v>
      </c>
      <c r="I36">
        <v>253</v>
      </c>
      <c r="J36" t="str" cm="1">
        <f t="array" ref="J36">_xlfn.IFS(I36&lt;120, "Weak", I36&lt;=200, "Moderate", I36&lt;=300, "Powerful", I36&gt;300, "Super")</f>
        <v>Powerful</v>
      </c>
      <c r="K36">
        <v>113</v>
      </c>
      <c r="L36">
        <v>74.400000000000006</v>
      </c>
      <c r="M36">
        <v>197.8</v>
      </c>
      <c r="N36">
        <v>3.5670000000000002</v>
      </c>
      <c r="O36">
        <v>17</v>
      </c>
      <c r="P36">
        <v>23</v>
      </c>
      <c r="Q36" s="1">
        <v>40949</v>
      </c>
      <c r="R36">
        <v>101.6552441</v>
      </c>
    </row>
    <row r="37" spans="1:18" x14ac:dyDescent="0.3">
      <c r="A37" t="s">
        <v>60</v>
      </c>
      <c r="B37" s="6" t="s">
        <v>61</v>
      </c>
      <c r="C37" s="6" t="str">
        <f t="shared" si="3"/>
        <v>High Sales</v>
      </c>
      <c r="D37" s="2">
        <v>76.034000000000006</v>
      </c>
      <c r="E37" s="11">
        <v>7.75</v>
      </c>
      <c r="F37" t="s">
        <v>18</v>
      </c>
      <c r="G37">
        <v>12.64</v>
      </c>
      <c r="H37">
        <v>2</v>
      </c>
      <c r="I37">
        <v>132</v>
      </c>
      <c r="J37" t="str" cm="1">
        <f t="array" ref="J37">_xlfn.IFS(I37&lt;120, "Weak", I37&lt;=200, "Moderate", I37&lt;=300, "Powerful", I37&gt;300, "Super")</f>
        <v>Moderate</v>
      </c>
      <c r="K37">
        <v>105</v>
      </c>
      <c r="L37">
        <v>74.400000000000006</v>
      </c>
      <c r="M37">
        <v>174.4</v>
      </c>
      <c r="N37">
        <v>2.5670000000000002</v>
      </c>
      <c r="O37">
        <v>12.5</v>
      </c>
      <c r="P37">
        <v>29</v>
      </c>
      <c r="Q37" s="1">
        <v>40889</v>
      </c>
      <c r="R37">
        <v>52.084898750000001</v>
      </c>
    </row>
    <row r="38" spans="1:18" x14ac:dyDescent="0.3">
      <c r="A38" t="s">
        <v>60</v>
      </c>
      <c r="B38" s="6" t="s">
        <v>62</v>
      </c>
      <c r="C38" s="6" t="str">
        <f t="shared" si="3"/>
        <v>Low Sales</v>
      </c>
      <c r="D38" s="2">
        <v>4.734</v>
      </c>
      <c r="E38" s="11">
        <v>12.545</v>
      </c>
      <c r="F38" t="s">
        <v>18</v>
      </c>
      <c r="G38">
        <v>19.045000000000002</v>
      </c>
      <c r="H38">
        <v>2.5</v>
      </c>
      <c r="I38">
        <v>163</v>
      </c>
      <c r="J38" t="str" cm="1">
        <f t="array" ref="J38">_xlfn.IFS(I38&lt;120, "Weak", I38&lt;=200, "Moderate", I38&lt;=300, "Powerful", I38&gt;300, "Super")</f>
        <v>Moderate</v>
      </c>
      <c r="K38">
        <v>103.7</v>
      </c>
      <c r="L38">
        <v>69.099999999999994</v>
      </c>
      <c r="M38">
        <v>190.2</v>
      </c>
      <c r="N38">
        <v>2.879</v>
      </c>
      <c r="O38">
        <v>15.9</v>
      </c>
      <c r="P38">
        <v>24</v>
      </c>
      <c r="Q38" s="1">
        <v>41091</v>
      </c>
      <c r="R38">
        <v>65.650508340000002</v>
      </c>
    </row>
    <row r="39" spans="1:18" x14ac:dyDescent="0.3">
      <c r="A39" t="s">
        <v>60</v>
      </c>
      <c r="B39" s="6" t="s">
        <v>63</v>
      </c>
      <c r="C39" s="6" t="str">
        <f t="shared" si="3"/>
        <v>High Sales</v>
      </c>
      <c r="D39" s="2">
        <v>71.186000000000007</v>
      </c>
      <c r="E39" s="11">
        <v>10.185</v>
      </c>
      <c r="F39" t="s">
        <v>18</v>
      </c>
      <c r="G39">
        <v>20.23</v>
      </c>
      <c r="H39">
        <v>2.5</v>
      </c>
      <c r="I39">
        <v>168</v>
      </c>
      <c r="J39" t="str" cm="1">
        <f t="array" ref="J39">_xlfn.IFS(I39&lt;120, "Weak", I39&lt;=200, "Moderate", I39&lt;=300, "Powerful", I39&gt;300, "Super")</f>
        <v>Moderate</v>
      </c>
      <c r="K39">
        <v>108</v>
      </c>
      <c r="L39">
        <v>71</v>
      </c>
      <c r="M39">
        <v>186</v>
      </c>
      <c r="N39">
        <v>3.0579999999999998</v>
      </c>
      <c r="O39">
        <v>16</v>
      </c>
      <c r="P39">
        <v>24</v>
      </c>
      <c r="Q39" s="1">
        <v>40847</v>
      </c>
      <c r="R39">
        <v>67.876107840000003</v>
      </c>
    </row>
    <row r="40" spans="1:18" x14ac:dyDescent="0.3">
      <c r="A40" t="s">
        <v>60</v>
      </c>
      <c r="B40" s="6" t="s">
        <v>64</v>
      </c>
      <c r="C40" s="6" t="str">
        <f t="shared" si="3"/>
        <v>High Sales</v>
      </c>
      <c r="D40" s="2">
        <v>88.028000000000006</v>
      </c>
      <c r="E40" s="11">
        <v>12.275</v>
      </c>
      <c r="F40" t="s">
        <v>18</v>
      </c>
      <c r="G40">
        <v>22.504999999999999</v>
      </c>
      <c r="H40">
        <v>2.7</v>
      </c>
      <c r="I40">
        <v>202</v>
      </c>
      <c r="J40" t="str" cm="1">
        <f t="array" ref="J40">_xlfn.IFS(I40&lt;120, "Weak", I40&lt;=200, "Moderate", I40&lt;=300, "Powerful", I40&gt;300, "Super")</f>
        <v>Powerful</v>
      </c>
      <c r="K40">
        <v>113</v>
      </c>
      <c r="L40">
        <v>74.7</v>
      </c>
      <c r="M40">
        <v>203.7</v>
      </c>
      <c r="N40">
        <v>3.4889999999999999</v>
      </c>
      <c r="O40">
        <v>17</v>
      </c>
      <c r="Q40" s="1">
        <v>41062</v>
      </c>
      <c r="R40">
        <v>80.831470170000003</v>
      </c>
    </row>
    <row r="41" spans="1:18" x14ac:dyDescent="0.3">
      <c r="A41" t="s">
        <v>60</v>
      </c>
      <c r="B41" s="6" t="s">
        <v>65</v>
      </c>
      <c r="C41" s="6" t="str">
        <f t="shared" si="3"/>
        <v>Low Sales</v>
      </c>
      <c r="D41" s="2">
        <v>0.91600000000000004</v>
      </c>
      <c r="E41" s="11">
        <v>58.47</v>
      </c>
      <c r="F41" t="s">
        <v>18</v>
      </c>
      <c r="G41">
        <v>69.724999999999994</v>
      </c>
      <c r="H41">
        <v>8</v>
      </c>
      <c r="I41">
        <v>450</v>
      </c>
      <c r="J41" t="str" cm="1">
        <f t="array" ref="J41">_xlfn.IFS(I41&lt;120, "Weak", I41&lt;=200, "Moderate", I41&lt;=300, "Powerful", I41&gt;300, "Super")</f>
        <v>Super</v>
      </c>
      <c r="K41">
        <v>96.2</v>
      </c>
      <c r="L41">
        <v>75.7</v>
      </c>
      <c r="M41">
        <v>176.7</v>
      </c>
      <c r="N41">
        <v>3.375</v>
      </c>
      <c r="O41">
        <v>19</v>
      </c>
      <c r="P41">
        <v>16</v>
      </c>
      <c r="Q41" s="1">
        <v>40762</v>
      </c>
      <c r="R41">
        <v>188.14432300000001</v>
      </c>
    </row>
    <row r="42" spans="1:18" x14ac:dyDescent="0.3">
      <c r="A42" t="s">
        <v>60</v>
      </c>
      <c r="B42" s="6" t="s">
        <v>66</v>
      </c>
      <c r="C42" s="6" t="str">
        <f t="shared" si="3"/>
        <v>High Sales</v>
      </c>
      <c r="D42" s="2">
        <v>227.06100000000001</v>
      </c>
      <c r="E42" s="11">
        <v>15.06</v>
      </c>
      <c r="F42" t="s">
        <v>41</v>
      </c>
      <c r="G42">
        <v>19.46</v>
      </c>
      <c r="H42">
        <v>5.2</v>
      </c>
      <c r="I42">
        <v>230</v>
      </c>
      <c r="J42" t="str" cm="1">
        <f t="array" ref="J42">_xlfn.IFS(I42&lt;120, "Weak", I42&lt;=200, "Moderate", I42&lt;=300, "Powerful", I42&gt;300, "Super")</f>
        <v>Powerful</v>
      </c>
      <c r="K42">
        <v>138.69999999999999</v>
      </c>
      <c r="L42">
        <v>79.3</v>
      </c>
      <c r="M42">
        <v>224.2</v>
      </c>
      <c r="N42">
        <v>4.47</v>
      </c>
      <c r="O42">
        <v>26</v>
      </c>
      <c r="P42">
        <v>17</v>
      </c>
      <c r="Q42" s="1">
        <v>40974</v>
      </c>
      <c r="R42">
        <v>90.211700050000005</v>
      </c>
    </row>
    <row r="43" spans="1:18" x14ac:dyDescent="0.3">
      <c r="A43" t="s">
        <v>60</v>
      </c>
      <c r="B43" s="6" t="s">
        <v>67</v>
      </c>
      <c r="C43" s="6" t="str">
        <f t="shared" si="3"/>
        <v>Low Sales</v>
      </c>
      <c r="D43" s="2">
        <v>16.766999999999999</v>
      </c>
      <c r="E43" s="11">
        <v>15.51</v>
      </c>
      <c r="F43" t="s">
        <v>41</v>
      </c>
      <c r="G43">
        <v>21.315000000000001</v>
      </c>
      <c r="H43">
        <v>3.9</v>
      </c>
      <c r="I43">
        <v>175</v>
      </c>
      <c r="J43" t="str" cm="1">
        <f t="array" ref="J43">_xlfn.IFS(I43&lt;120, "Weak", I43&lt;=200, "Moderate", I43&lt;=300, "Powerful", I43&gt;300, "Super")</f>
        <v>Moderate</v>
      </c>
      <c r="K43">
        <v>109.6</v>
      </c>
      <c r="L43">
        <v>78.8</v>
      </c>
      <c r="M43">
        <v>192.6</v>
      </c>
      <c r="N43">
        <v>4.2450000000000001</v>
      </c>
      <c r="O43">
        <v>32</v>
      </c>
      <c r="P43">
        <v>15</v>
      </c>
      <c r="Q43" s="1">
        <v>40914</v>
      </c>
      <c r="R43">
        <v>71.135291609999996</v>
      </c>
    </row>
    <row r="44" spans="1:18" x14ac:dyDescent="0.3">
      <c r="A44" t="s">
        <v>60</v>
      </c>
      <c r="B44" s="6" t="s">
        <v>68</v>
      </c>
      <c r="C44" s="6" t="str">
        <f t="shared" si="3"/>
        <v>Low Sales</v>
      </c>
      <c r="D44" s="2">
        <v>31.038</v>
      </c>
      <c r="E44" s="11">
        <v>13.425000000000001</v>
      </c>
      <c r="F44" t="s">
        <v>41</v>
      </c>
      <c r="G44">
        <v>18.574999999999999</v>
      </c>
      <c r="H44">
        <v>3.9</v>
      </c>
      <c r="I44">
        <v>175</v>
      </c>
      <c r="J44" t="str" cm="1">
        <f t="array" ref="J44">_xlfn.IFS(I44&lt;120, "Weak", I44&lt;=200, "Moderate", I44&lt;=300, "Powerful", I44&gt;300, "Super")</f>
        <v>Moderate</v>
      </c>
      <c r="K44">
        <v>127.2</v>
      </c>
      <c r="L44">
        <v>78.8</v>
      </c>
      <c r="M44">
        <v>208.5</v>
      </c>
      <c r="N44">
        <v>4.298</v>
      </c>
      <c r="O44">
        <v>32</v>
      </c>
      <c r="P44">
        <v>16</v>
      </c>
      <c r="Q44" s="1">
        <v>41116</v>
      </c>
      <c r="R44">
        <v>70.078321540000005</v>
      </c>
    </row>
    <row r="45" spans="1:18" x14ac:dyDescent="0.3">
      <c r="A45" t="s">
        <v>60</v>
      </c>
      <c r="B45" s="6" t="s">
        <v>69</v>
      </c>
      <c r="C45" s="6" t="str">
        <f t="shared" si="3"/>
        <v>High Sales</v>
      </c>
      <c r="D45" s="2">
        <v>111.313</v>
      </c>
      <c r="E45" s="11">
        <v>11.26</v>
      </c>
      <c r="F45" t="s">
        <v>41</v>
      </c>
      <c r="G45">
        <v>16.98</v>
      </c>
      <c r="H45">
        <v>2.5</v>
      </c>
      <c r="I45">
        <v>120</v>
      </c>
      <c r="J45" t="str" cm="1">
        <f t="array" ref="J45">_xlfn.IFS(I45&lt;120, "Weak", I45&lt;=200, "Moderate", I45&lt;=300, "Powerful", I45&gt;300, "Super")</f>
        <v>Moderate</v>
      </c>
      <c r="K45">
        <v>131</v>
      </c>
      <c r="L45">
        <v>71.5</v>
      </c>
      <c r="M45">
        <v>215</v>
      </c>
      <c r="N45">
        <v>3.5569999999999999</v>
      </c>
      <c r="O45">
        <v>22</v>
      </c>
      <c r="P45">
        <v>19</v>
      </c>
      <c r="Q45" s="1">
        <v>40872</v>
      </c>
      <c r="R45">
        <v>49.64500177</v>
      </c>
    </row>
    <row r="46" spans="1:18" x14ac:dyDescent="0.3">
      <c r="A46" t="s">
        <v>60</v>
      </c>
      <c r="B46" s="6" t="s">
        <v>70</v>
      </c>
      <c r="C46" s="6" t="str">
        <f t="shared" si="3"/>
        <v>High Sales</v>
      </c>
      <c r="D46" s="2">
        <v>101.32299999999999</v>
      </c>
      <c r="F46" t="s">
        <v>41</v>
      </c>
      <c r="G46">
        <v>26.31</v>
      </c>
      <c r="H46">
        <v>5.2</v>
      </c>
      <c r="I46">
        <v>230</v>
      </c>
      <c r="J46" t="str" cm="1">
        <f t="array" ref="J46">_xlfn.IFS(I46&lt;120, "Weak", I46&lt;=200, "Moderate", I46&lt;=300, "Powerful", I46&gt;300, "Super")</f>
        <v>Powerful</v>
      </c>
      <c r="K46">
        <v>115.7</v>
      </c>
      <c r="L46">
        <v>71.7</v>
      </c>
      <c r="M46">
        <v>193.5</v>
      </c>
      <c r="N46">
        <v>4.3940000000000001</v>
      </c>
      <c r="O46">
        <v>25</v>
      </c>
      <c r="P46">
        <v>17</v>
      </c>
      <c r="Q46" s="1">
        <v>41087</v>
      </c>
      <c r="R46">
        <v>92.85412522</v>
      </c>
    </row>
    <row r="47" spans="1:18" x14ac:dyDescent="0.3">
      <c r="A47" t="s">
        <v>60</v>
      </c>
      <c r="B47" s="6" t="s">
        <v>71</v>
      </c>
      <c r="C47" s="6" t="str">
        <f t="shared" si="3"/>
        <v>High Sales</v>
      </c>
      <c r="D47" s="2">
        <v>181.749</v>
      </c>
      <c r="E47" s="11">
        <v>12.025</v>
      </c>
      <c r="F47" t="s">
        <v>41</v>
      </c>
      <c r="G47">
        <v>19.565000000000001</v>
      </c>
      <c r="H47">
        <v>2.4</v>
      </c>
      <c r="I47">
        <v>150</v>
      </c>
      <c r="J47" t="str" cm="1">
        <f t="array" ref="J47">_xlfn.IFS(I47&lt;120, "Weak", I47&lt;=200, "Moderate", I47&lt;=300, "Powerful", I47&gt;300, "Super")</f>
        <v>Moderate</v>
      </c>
      <c r="K47">
        <v>113.3</v>
      </c>
      <c r="L47">
        <v>76.8</v>
      </c>
      <c r="M47">
        <v>186.3</v>
      </c>
      <c r="N47">
        <v>3.5329999999999999</v>
      </c>
      <c r="O47">
        <v>20</v>
      </c>
      <c r="P47">
        <v>24</v>
      </c>
      <c r="Q47" s="1">
        <v>40787</v>
      </c>
      <c r="R47">
        <v>61.227000310000001</v>
      </c>
    </row>
    <row r="48" spans="1:18" x14ac:dyDescent="0.3">
      <c r="A48" t="s">
        <v>72</v>
      </c>
      <c r="B48" s="6" t="s">
        <v>73</v>
      </c>
      <c r="C48" s="6" t="str">
        <f t="shared" si="3"/>
        <v>High Sales</v>
      </c>
      <c r="D48" s="2">
        <v>70.227000000000004</v>
      </c>
      <c r="E48" s="11">
        <v>7.4249999999999998</v>
      </c>
      <c r="F48" t="s">
        <v>18</v>
      </c>
      <c r="G48">
        <v>12.07</v>
      </c>
      <c r="H48">
        <v>2</v>
      </c>
      <c r="I48">
        <v>110</v>
      </c>
      <c r="J48" t="str" cm="1">
        <f t="array" ref="J48">_xlfn.IFS(I48&lt;120, "Weak", I48&lt;=200, "Moderate", I48&lt;=300, "Powerful", I48&gt;300, "Super")</f>
        <v>Weak</v>
      </c>
      <c r="K48">
        <v>98.4</v>
      </c>
      <c r="L48">
        <v>67</v>
      </c>
      <c r="M48">
        <v>174.7</v>
      </c>
      <c r="N48">
        <v>2.468</v>
      </c>
      <c r="O48">
        <v>12.7</v>
      </c>
      <c r="P48">
        <v>30</v>
      </c>
      <c r="Q48" s="1">
        <v>40999</v>
      </c>
      <c r="R48">
        <v>44.083709460000001</v>
      </c>
    </row>
    <row r="49" spans="1:18" x14ac:dyDescent="0.3">
      <c r="A49" t="s">
        <v>72</v>
      </c>
      <c r="B49" s="6" t="s">
        <v>74</v>
      </c>
      <c r="C49" s="6" t="str">
        <f t="shared" si="3"/>
        <v>High Sales</v>
      </c>
      <c r="D49" s="2">
        <v>113.369</v>
      </c>
      <c r="E49" s="11">
        <v>12.76</v>
      </c>
      <c r="F49" t="s">
        <v>18</v>
      </c>
      <c r="G49">
        <v>21.56</v>
      </c>
      <c r="H49">
        <v>3.8</v>
      </c>
      <c r="I49">
        <v>190</v>
      </c>
      <c r="J49" t="str" cm="1">
        <f t="array" ref="J49">_xlfn.IFS(I49&lt;120, "Weak", I49&lt;=200, "Moderate", I49&lt;=300, "Powerful", I49&gt;300, "Super")</f>
        <v>Moderate</v>
      </c>
      <c r="K49">
        <v>101.3</v>
      </c>
      <c r="L49">
        <v>73.099999999999994</v>
      </c>
      <c r="M49">
        <v>183.2</v>
      </c>
      <c r="N49">
        <v>3.2029999999999998</v>
      </c>
      <c r="O49">
        <v>15.7</v>
      </c>
      <c r="P49">
        <v>24</v>
      </c>
      <c r="Q49" s="1">
        <v>40939</v>
      </c>
      <c r="R49">
        <v>76.509184559999994</v>
      </c>
    </row>
    <row r="50" spans="1:18" x14ac:dyDescent="0.3">
      <c r="A50" t="s">
        <v>72</v>
      </c>
      <c r="B50" s="6" t="s">
        <v>75</v>
      </c>
      <c r="C50" s="6" t="str">
        <f t="shared" si="3"/>
        <v>Low Sales</v>
      </c>
      <c r="D50" s="2">
        <v>35.067999999999998</v>
      </c>
      <c r="E50" s="11">
        <v>8.8350000000000009</v>
      </c>
      <c r="F50" t="s">
        <v>18</v>
      </c>
      <c r="G50">
        <v>17.035</v>
      </c>
      <c r="H50">
        <v>2.5</v>
      </c>
      <c r="I50">
        <v>170</v>
      </c>
      <c r="J50" t="str" cm="1">
        <f t="array" ref="J50">_xlfn.IFS(I50&lt;120, "Weak", I50&lt;=200, "Moderate", I50&lt;=300, "Powerful", I50&gt;300, "Super")</f>
        <v>Moderate</v>
      </c>
      <c r="K50">
        <v>106.5</v>
      </c>
      <c r="L50">
        <v>69.099999999999994</v>
      </c>
      <c r="M50">
        <v>184.6</v>
      </c>
      <c r="N50">
        <v>2.7690000000000001</v>
      </c>
      <c r="O50">
        <v>15</v>
      </c>
      <c r="P50">
        <v>25</v>
      </c>
      <c r="Q50" s="1">
        <v>41141</v>
      </c>
      <c r="R50">
        <v>67.351010720000005</v>
      </c>
    </row>
    <row r="51" spans="1:18" x14ac:dyDescent="0.3">
      <c r="A51" t="s">
        <v>72</v>
      </c>
      <c r="B51" s="6" t="s">
        <v>76</v>
      </c>
      <c r="C51" s="6" t="str">
        <f t="shared" si="3"/>
        <v>High Sales</v>
      </c>
      <c r="D51" s="2">
        <v>245.815</v>
      </c>
      <c r="E51" s="11">
        <v>10.055</v>
      </c>
      <c r="F51" t="s">
        <v>18</v>
      </c>
      <c r="G51">
        <v>17.885000000000002</v>
      </c>
      <c r="H51">
        <v>3</v>
      </c>
      <c r="I51">
        <v>155</v>
      </c>
      <c r="J51" t="str" cm="1">
        <f t="array" ref="J51">_xlfn.IFS(I51&lt;120, "Weak", I51&lt;=200, "Moderate", I51&lt;=300, "Powerful", I51&gt;300, "Super")</f>
        <v>Moderate</v>
      </c>
      <c r="K51">
        <v>108.5</v>
      </c>
      <c r="L51">
        <v>73</v>
      </c>
      <c r="M51">
        <v>197.6</v>
      </c>
      <c r="N51">
        <v>3.3679999999999999</v>
      </c>
      <c r="O51">
        <v>16</v>
      </c>
      <c r="P51">
        <v>24</v>
      </c>
      <c r="Q51" s="1">
        <v>40897</v>
      </c>
      <c r="R51">
        <v>62.503739500000002</v>
      </c>
    </row>
    <row r="52" spans="1:18" x14ac:dyDescent="0.3">
      <c r="A52" t="s">
        <v>72</v>
      </c>
      <c r="B52" s="6" t="s">
        <v>77</v>
      </c>
      <c r="C52" s="6" t="str">
        <f t="shared" si="3"/>
        <v>High Sales</v>
      </c>
      <c r="D52" s="2">
        <v>175.67</v>
      </c>
      <c r="F52" t="s">
        <v>18</v>
      </c>
      <c r="G52">
        <v>12.315</v>
      </c>
      <c r="H52">
        <v>2</v>
      </c>
      <c r="I52">
        <v>107</v>
      </c>
      <c r="J52" t="str" cm="1">
        <f t="array" ref="J52">_xlfn.IFS(I52&lt;120, "Weak", I52&lt;=200, "Moderate", I52&lt;=300, "Powerful", I52&gt;300, "Super")</f>
        <v>Weak</v>
      </c>
      <c r="K52">
        <v>103</v>
      </c>
      <c r="L52">
        <v>66.900000000000006</v>
      </c>
      <c r="M52">
        <v>174.8</v>
      </c>
      <c r="N52">
        <v>2.5640000000000001</v>
      </c>
      <c r="O52">
        <v>13.2</v>
      </c>
      <c r="P52">
        <v>30</v>
      </c>
      <c r="Q52" s="1">
        <v>41112</v>
      </c>
      <c r="R52">
        <v>43.117132009999999</v>
      </c>
    </row>
    <row r="53" spans="1:18" x14ac:dyDescent="0.3">
      <c r="A53" t="s">
        <v>72</v>
      </c>
      <c r="B53" s="6" t="s">
        <v>78</v>
      </c>
      <c r="C53" s="6" t="str">
        <f t="shared" si="3"/>
        <v>High Sales</v>
      </c>
      <c r="D53" s="2">
        <v>63.402999999999999</v>
      </c>
      <c r="E53" s="11">
        <v>14.21</v>
      </c>
      <c r="F53" t="s">
        <v>18</v>
      </c>
      <c r="G53">
        <v>22.195</v>
      </c>
      <c r="H53">
        <v>4.5999999999999996</v>
      </c>
      <c r="I53">
        <v>200</v>
      </c>
      <c r="J53" t="str" cm="1">
        <f t="array" ref="J53">_xlfn.IFS(I53&lt;120, "Weak", I53&lt;=200, "Moderate", I53&lt;=300, "Powerful", I53&gt;300, "Super")</f>
        <v>Moderate</v>
      </c>
      <c r="K53">
        <v>114.7</v>
      </c>
      <c r="L53">
        <v>78.2</v>
      </c>
      <c r="M53">
        <v>212</v>
      </c>
      <c r="N53">
        <v>3.9079999999999999</v>
      </c>
      <c r="O53">
        <v>19</v>
      </c>
      <c r="P53">
        <v>21</v>
      </c>
      <c r="Q53" s="1">
        <v>40812</v>
      </c>
      <c r="R53">
        <v>80.499536710000001</v>
      </c>
    </row>
    <row r="54" spans="1:18" x14ac:dyDescent="0.3">
      <c r="A54" t="s">
        <v>72</v>
      </c>
      <c r="B54" s="6" t="s">
        <v>79</v>
      </c>
      <c r="C54" s="6" t="str">
        <f t="shared" si="3"/>
        <v>High Sales</v>
      </c>
      <c r="D54" s="2">
        <v>276.74700000000001</v>
      </c>
      <c r="E54" s="11">
        <v>16.64</v>
      </c>
      <c r="F54" t="s">
        <v>41</v>
      </c>
      <c r="G54">
        <v>31.93</v>
      </c>
      <c r="H54">
        <v>4</v>
      </c>
      <c r="I54">
        <v>210</v>
      </c>
      <c r="J54" t="str" cm="1">
        <f t="array" ref="J54">_xlfn.IFS(I54&lt;120, "Weak", I54&lt;=200, "Moderate", I54&lt;=300, "Powerful", I54&gt;300, "Super")</f>
        <v>Powerful</v>
      </c>
      <c r="K54">
        <v>111.6</v>
      </c>
      <c r="L54">
        <v>70.2</v>
      </c>
      <c r="M54">
        <v>190.7</v>
      </c>
      <c r="N54">
        <v>3.8759999999999999</v>
      </c>
      <c r="O54">
        <v>21</v>
      </c>
      <c r="P54">
        <v>19</v>
      </c>
      <c r="Q54" s="1">
        <v>41024</v>
      </c>
      <c r="R54">
        <v>87.635495779999999</v>
      </c>
    </row>
    <row r="55" spans="1:18" x14ac:dyDescent="0.3">
      <c r="A55" t="s">
        <v>72</v>
      </c>
      <c r="B55" s="6" t="s">
        <v>80</v>
      </c>
      <c r="C55" s="6" t="str">
        <f t="shared" si="3"/>
        <v>High Sales</v>
      </c>
      <c r="D55" s="2">
        <v>155.78700000000001</v>
      </c>
      <c r="E55" s="11">
        <v>13.175000000000001</v>
      </c>
      <c r="F55" t="s">
        <v>41</v>
      </c>
      <c r="G55">
        <v>21.41</v>
      </c>
      <c r="H55">
        <v>3</v>
      </c>
      <c r="I55">
        <v>150</v>
      </c>
      <c r="J55" t="str" cm="1">
        <f t="array" ref="J55">_xlfn.IFS(I55&lt;120, "Weak", I55&lt;=200, "Moderate", I55&lt;=300, "Powerful", I55&gt;300, "Super")</f>
        <v>Moderate</v>
      </c>
      <c r="K55">
        <v>120.7</v>
      </c>
      <c r="L55">
        <v>76.599999999999994</v>
      </c>
      <c r="M55">
        <v>200.9</v>
      </c>
      <c r="N55">
        <v>3.7610000000000001</v>
      </c>
      <c r="O55">
        <v>26</v>
      </c>
      <c r="P55">
        <v>21</v>
      </c>
      <c r="Q55" s="1">
        <v>40964</v>
      </c>
      <c r="R55">
        <v>62.095048390000002</v>
      </c>
    </row>
    <row r="56" spans="1:18" x14ac:dyDescent="0.3">
      <c r="A56" t="s">
        <v>72</v>
      </c>
      <c r="B56" s="6" t="s">
        <v>81</v>
      </c>
      <c r="C56" s="6" t="str">
        <f t="shared" si="3"/>
        <v>High Sales</v>
      </c>
      <c r="D56" s="2">
        <v>125.33799999999999</v>
      </c>
      <c r="E56" s="11">
        <v>23.574999999999999</v>
      </c>
      <c r="F56" t="s">
        <v>41</v>
      </c>
      <c r="G56">
        <v>36.134999999999998</v>
      </c>
      <c r="H56">
        <v>4.5999999999999996</v>
      </c>
      <c r="I56">
        <v>240</v>
      </c>
      <c r="J56" t="str" cm="1">
        <f t="array" ref="J56">_xlfn.IFS(I56&lt;120, "Weak", I56&lt;=200, "Moderate", I56&lt;=300, "Powerful", I56&gt;300, "Super")</f>
        <v>Powerful</v>
      </c>
      <c r="K56">
        <v>119</v>
      </c>
      <c r="L56">
        <v>78.7</v>
      </c>
      <c r="M56">
        <v>204.6</v>
      </c>
      <c r="N56">
        <v>4.8079999999999998</v>
      </c>
      <c r="O56">
        <v>26</v>
      </c>
      <c r="P56">
        <v>16</v>
      </c>
      <c r="Q56" s="1">
        <v>41166</v>
      </c>
      <c r="R56">
        <v>100.0248023</v>
      </c>
    </row>
    <row r="57" spans="1:18" x14ac:dyDescent="0.3">
      <c r="A57" t="s">
        <v>72</v>
      </c>
      <c r="B57" s="6" t="s">
        <v>82</v>
      </c>
      <c r="C57" s="6" t="str">
        <f t="shared" si="3"/>
        <v>High Sales</v>
      </c>
      <c r="D57" s="2">
        <v>220.65</v>
      </c>
      <c r="E57" s="11">
        <v>7.85</v>
      </c>
      <c r="F57" t="s">
        <v>41</v>
      </c>
      <c r="G57">
        <v>12.05</v>
      </c>
      <c r="H57">
        <v>2.5</v>
      </c>
      <c r="I57">
        <v>119</v>
      </c>
      <c r="J57" t="str" cm="1">
        <f t="array" ref="J57">_xlfn.IFS(I57&lt;120, "Weak", I57&lt;=200, "Moderate", I57&lt;=300, "Powerful", I57&gt;300, "Super")</f>
        <v>Weak</v>
      </c>
      <c r="K57">
        <v>117.5</v>
      </c>
      <c r="L57">
        <v>69.400000000000006</v>
      </c>
      <c r="M57">
        <v>200.7</v>
      </c>
      <c r="N57">
        <v>3.0859999999999999</v>
      </c>
      <c r="O57">
        <v>20</v>
      </c>
      <c r="P57">
        <v>23</v>
      </c>
      <c r="Q57" s="1">
        <v>40922</v>
      </c>
      <c r="R57">
        <v>47.389531310000002</v>
      </c>
    </row>
    <row r="58" spans="1:18" x14ac:dyDescent="0.3">
      <c r="A58" t="s">
        <v>72</v>
      </c>
      <c r="B58" s="6" t="s">
        <v>83</v>
      </c>
      <c r="C58" s="6" t="str">
        <f t="shared" si="3"/>
        <v>High Sales</v>
      </c>
      <c r="D58" s="2">
        <v>540.56100000000004</v>
      </c>
      <c r="E58" s="11">
        <v>15.074999999999999</v>
      </c>
      <c r="F58" t="s">
        <v>41</v>
      </c>
      <c r="G58">
        <v>26.934999999999999</v>
      </c>
      <c r="H58">
        <v>4.5999999999999996</v>
      </c>
      <c r="I58">
        <v>220</v>
      </c>
      <c r="J58" t="str" cm="1">
        <f t="array" ref="J58">_xlfn.IFS(I58&lt;120, "Weak", I58&lt;=200, "Moderate", I58&lt;=300, "Powerful", I58&gt;300, "Super")</f>
        <v>Powerful</v>
      </c>
      <c r="K58">
        <v>138.5</v>
      </c>
      <c r="L58">
        <v>79.099999999999994</v>
      </c>
      <c r="M58">
        <v>224.5</v>
      </c>
      <c r="N58">
        <v>4.2409999999999997</v>
      </c>
      <c r="O58">
        <v>25.1</v>
      </c>
      <c r="P58">
        <v>18</v>
      </c>
      <c r="Q58" s="1">
        <v>41137</v>
      </c>
      <c r="R58">
        <v>89.401934729999994</v>
      </c>
    </row>
    <row r="59" spans="1:18" x14ac:dyDescent="0.3">
      <c r="A59" t="s">
        <v>84</v>
      </c>
      <c r="B59" s="6" t="s">
        <v>85</v>
      </c>
      <c r="C59" s="6" t="str">
        <f t="shared" si="3"/>
        <v>High Sales</v>
      </c>
      <c r="D59" s="2">
        <v>199.685</v>
      </c>
      <c r="E59" s="11">
        <v>9.85</v>
      </c>
      <c r="F59" t="s">
        <v>18</v>
      </c>
      <c r="G59">
        <v>12.885</v>
      </c>
      <c r="H59">
        <v>1.6</v>
      </c>
      <c r="I59">
        <v>106</v>
      </c>
      <c r="J59" t="str" cm="1">
        <f t="array" ref="J59">_xlfn.IFS(I59&lt;120, "Weak", I59&lt;=200, "Moderate", I59&lt;=300, "Powerful", I59&gt;300, "Super")</f>
        <v>Weak</v>
      </c>
      <c r="K59">
        <v>103.2</v>
      </c>
      <c r="L59">
        <v>67.099999999999994</v>
      </c>
      <c r="M59">
        <v>175.1</v>
      </c>
      <c r="N59">
        <v>2.339</v>
      </c>
      <c r="O59">
        <v>11.9</v>
      </c>
      <c r="P59">
        <v>32</v>
      </c>
      <c r="Q59" s="1">
        <v>40837</v>
      </c>
      <c r="R59">
        <v>42.879097340000001</v>
      </c>
    </row>
    <row r="60" spans="1:18" x14ac:dyDescent="0.3">
      <c r="A60" t="s">
        <v>84</v>
      </c>
      <c r="B60" s="6" t="s">
        <v>86</v>
      </c>
      <c r="C60" s="6" t="str">
        <f t="shared" si="3"/>
        <v>High Sales</v>
      </c>
      <c r="D60" s="2">
        <v>230.90199999999999</v>
      </c>
      <c r="E60" s="11">
        <v>13.21</v>
      </c>
      <c r="F60" t="s">
        <v>18</v>
      </c>
      <c r="G60">
        <v>15.35</v>
      </c>
      <c r="H60">
        <v>2.2999999999999998</v>
      </c>
      <c r="I60">
        <v>135</v>
      </c>
      <c r="J60" t="str" cm="1">
        <f t="array" ref="J60">_xlfn.IFS(I60&lt;120, "Weak", I60&lt;=200, "Moderate", I60&lt;=300, "Powerful", I60&gt;300, "Super")</f>
        <v>Moderate</v>
      </c>
      <c r="K60">
        <v>106.9</v>
      </c>
      <c r="L60">
        <v>70.3</v>
      </c>
      <c r="M60">
        <v>188.8</v>
      </c>
      <c r="N60">
        <v>2.9319999999999999</v>
      </c>
      <c r="O60">
        <v>17.100000000000001</v>
      </c>
      <c r="P60">
        <v>27</v>
      </c>
      <c r="Q60" s="1">
        <v>41049</v>
      </c>
      <c r="R60">
        <v>54.269548290000003</v>
      </c>
    </row>
    <row r="61" spans="1:18" x14ac:dyDescent="0.3">
      <c r="A61" t="s">
        <v>84</v>
      </c>
      <c r="B61" s="6" t="s">
        <v>87</v>
      </c>
      <c r="C61" s="6" t="str">
        <f t="shared" si="3"/>
        <v>High Sales</v>
      </c>
      <c r="D61" s="2">
        <v>73.203000000000003</v>
      </c>
      <c r="E61" s="11">
        <v>17.71</v>
      </c>
      <c r="F61" t="s">
        <v>41</v>
      </c>
      <c r="G61">
        <v>20.55</v>
      </c>
      <c r="H61">
        <v>2</v>
      </c>
      <c r="I61">
        <v>146</v>
      </c>
      <c r="J61" t="str" cm="1">
        <f t="array" ref="J61">_xlfn.IFS(I61&lt;120, "Weak", I61&lt;=200, "Moderate", I61&lt;=300, "Powerful", I61&gt;300, "Super")</f>
        <v>Moderate</v>
      </c>
      <c r="K61">
        <v>103.2</v>
      </c>
      <c r="L61">
        <v>68.900000000000006</v>
      </c>
      <c r="M61">
        <v>177.6</v>
      </c>
      <c r="N61">
        <v>3.2189999999999999</v>
      </c>
      <c r="O61">
        <v>15.3</v>
      </c>
      <c r="P61">
        <v>24</v>
      </c>
      <c r="Q61" s="1">
        <v>40989</v>
      </c>
      <c r="R61">
        <v>60.087966620000003</v>
      </c>
    </row>
    <row r="62" spans="1:18" x14ac:dyDescent="0.3">
      <c r="A62" t="s">
        <v>84</v>
      </c>
      <c r="B62" s="6" t="s">
        <v>88</v>
      </c>
      <c r="C62" s="6" t="str">
        <f t="shared" si="3"/>
        <v>Low Sales</v>
      </c>
      <c r="D62" s="2">
        <v>12.855</v>
      </c>
      <c r="E62" s="11">
        <v>17.524999999999999</v>
      </c>
      <c r="F62" t="s">
        <v>41</v>
      </c>
      <c r="G62">
        <v>26.6</v>
      </c>
      <c r="H62">
        <v>3.2</v>
      </c>
      <c r="I62">
        <v>205</v>
      </c>
      <c r="J62" t="str" cm="1">
        <f t="array" ref="J62">_xlfn.IFS(I62&lt;120, "Weak", I62&lt;=200, "Moderate", I62&lt;=300, "Powerful", I62&gt;300, "Super")</f>
        <v>Powerful</v>
      </c>
      <c r="K62">
        <v>106.4</v>
      </c>
      <c r="L62">
        <v>70.400000000000006</v>
      </c>
      <c r="M62">
        <v>178.2</v>
      </c>
      <c r="N62">
        <v>3.8570000000000002</v>
      </c>
      <c r="O62">
        <v>21.1</v>
      </c>
      <c r="P62">
        <v>19</v>
      </c>
      <c r="Q62" s="1">
        <v>41191</v>
      </c>
      <c r="R62">
        <v>83.602500800000001</v>
      </c>
    </row>
    <row r="63" spans="1:18" x14ac:dyDescent="0.3">
      <c r="A63" t="s">
        <v>84</v>
      </c>
      <c r="B63" s="6" t="s">
        <v>89</v>
      </c>
      <c r="C63" s="6" t="str">
        <f t="shared" si="3"/>
        <v>High Sales</v>
      </c>
      <c r="D63" s="2">
        <v>76.028999999999996</v>
      </c>
      <c r="E63" s="11">
        <v>19.489999999999998</v>
      </c>
      <c r="F63" t="s">
        <v>41</v>
      </c>
      <c r="G63">
        <v>26</v>
      </c>
      <c r="H63">
        <v>3.5</v>
      </c>
      <c r="I63">
        <v>210</v>
      </c>
      <c r="J63" t="str" cm="1">
        <f t="array" ref="J63">_xlfn.IFS(I63&lt;120, "Weak", I63&lt;=200, "Moderate", I63&lt;=300, "Powerful", I63&gt;300, "Super")</f>
        <v>Powerful</v>
      </c>
      <c r="K63">
        <v>118.1</v>
      </c>
      <c r="L63">
        <v>75.599999999999994</v>
      </c>
      <c r="M63">
        <v>201.2</v>
      </c>
      <c r="N63">
        <v>4.2880000000000003</v>
      </c>
      <c r="O63">
        <v>20</v>
      </c>
      <c r="P63">
        <v>23</v>
      </c>
      <c r="Q63" s="1">
        <v>40947</v>
      </c>
      <c r="R63">
        <v>85.217691340000002</v>
      </c>
    </row>
    <row r="64" spans="1:18" x14ac:dyDescent="0.3">
      <c r="A64" t="s">
        <v>90</v>
      </c>
      <c r="B64" s="6" t="s">
        <v>91</v>
      </c>
      <c r="C64" s="6" t="str">
        <f t="shared" si="3"/>
        <v>Low Sales</v>
      </c>
      <c r="D64" s="2">
        <v>41.183999999999997</v>
      </c>
      <c r="E64" s="11">
        <v>5.86</v>
      </c>
      <c r="F64" t="s">
        <v>18</v>
      </c>
      <c r="G64">
        <v>9.6989999999999998</v>
      </c>
      <c r="H64">
        <v>1.5</v>
      </c>
      <c r="I64">
        <v>92</v>
      </c>
      <c r="J64" t="str" cm="1">
        <f t="array" ref="J64">_xlfn.IFS(I64&lt;120, "Weak", I64&lt;=200, "Moderate", I64&lt;=300, "Powerful", I64&gt;300, "Super")</f>
        <v>Weak</v>
      </c>
      <c r="K64">
        <v>96.1</v>
      </c>
      <c r="L64">
        <v>65.7</v>
      </c>
      <c r="M64">
        <v>166.7</v>
      </c>
      <c r="N64">
        <v>2.2400000000000002</v>
      </c>
      <c r="O64">
        <v>11.9</v>
      </c>
      <c r="P64">
        <v>31</v>
      </c>
      <c r="Q64" s="1">
        <v>41162</v>
      </c>
      <c r="R64">
        <v>36.672283579999998</v>
      </c>
    </row>
    <row r="65" spans="1:18" x14ac:dyDescent="0.3">
      <c r="A65" t="s">
        <v>90</v>
      </c>
      <c r="B65" s="6" t="s">
        <v>92</v>
      </c>
      <c r="C65" s="6" t="str">
        <f t="shared" si="3"/>
        <v>High Sales</v>
      </c>
      <c r="D65" s="2">
        <v>66.691999999999993</v>
      </c>
      <c r="E65" s="11">
        <v>7.8250000000000002</v>
      </c>
      <c r="F65" t="s">
        <v>18</v>
      </c>
      <c r="G65">
        <v>11.798999999999999</v>
      </c>
      <c r="H65">
        <v>2</v>
      </c>
      <c r="I65">
        <v>140</v>
      </c>
      <c r="J65" t="str" cm="1">
        <f t="array" ref="J65">_xlfn.IFS(I65&lt;120, "Weak", I65&lt;=200, "Moderate", I65&lt;=300, "Powerful", I65&gt;300, "Super")</f>
        <v>Moderate</v>
      </c>
      <c r="K65">
        <v>100.4</v>
      </c>
      <c r="L65">
        <v>66.900000000000006</v>
      </c>
      <c r="M65">
        <v>174</v>
      </c>
      <c r="N65">
        <v>2.6259999999999999</v>
      </c>
      <c r="O65">
        <v>14.5</v>
      </c>
      <c r="P65">
        <v>27</v>
      </c>
      <c r="Q65" s="1">
        <v>40862</v>
      </c>
      <c r="R65">
        <v>54.590045160000003</v>
      </c>
    </row>
    <row r="66" spans="1:18" x14ac:dyDescent="0.3">
      <c r="A66" t="s">
        <v>90</v>
      </c>
      <c r="B66" s="6" t="s">
        <v>93</v>
      </c>
      <c r="C66" s="6" t="str">
        <f t="shared" ref="C66:C97" si="4">IF(D66&gt;50,"High Sales","Low Sales")</f>
        <v>Low Sales</v>
      </c>
      <c r="D66" s="2">
        <v>29.45</v>
      </c>
      <c r="E66" s="11">
        <v>8.91</v>
      </c>
      <c r="F66" t="s">
        <v>18</v>
      </c>
      <c r="G66">
        <v>14.999000000000001</v>
      </c>
      <c r="H66">
        <v>2.4</v>
      </c>
      <c r="I66">
        <v>148</v>
      </c>
      <c r="J66" t="str" cm="1">
        <f t="array" ref="J66">_xlfn.IFS(I66&lt;120, "Weak", I66&lt;=200, "Moderate", I66&lt;=300, "Powerful", I66&gt;300, "Super")</f>
        <v>Moderate</v>
      </c>
      <c r="K66">
        <v>106.3</v>
      </c>
      <c r="L66">
        <v>71.599999999999994</v>
      </c>
      <c r="M66">
        <v>185.4</v>
      </c>
      <c r="N66">
        <v>3.0720000000000001</v>
      </c>
      <c r="O66">
        <v>17.2</v>
      </c>
      <c r="P66">
        <v>25</v>
      </c>
      <c r="Q66" s="1">
        <v>41074</v>
      </c>
      <c r="R66">
        <v>58.758248999999999</v>
      </c>
    </row>
    <row r="67" spans="1:18" x14ac:dyDescent="0.3">
      <c r="A67" t="s">
        <v>94</v>
      </c>
      <c r="B67" s="6" t="s">
        <v>95</v>
      </c>
      <c r="C67" s="6" t="str">
        <f t="shared" si="4"/>
        <v>Low Sales</v>
      </c>
      <c r="D67" s="2">
        <v>23.713000000000001</v>
      </c>
      <c r="E67" s="11">
        <v>19.690000000000001</v>
      </c>
      <c r="F67" t="s">
        <v>18</v>
      </c>
      <c r="G67">
        <v>29.465</v>
      </c>
      <c r="H67">
        <v>3</v>
      </c>
      <c r="I67">
        <v>227</v>
      </c>
      <c r="J67" t="str" cm="1">
        <f t="array" ref="J67">_xlfn.IFS(I67&lt;120, "Weak", I67&lt;=200, "Moderate", I67&lt;=300, "Powerful", I67&gt;300, "Super")</f>
        <v>Powerful</v>
      </c>
      <c r="K67">
        <v>108.3</v>
      </c>
      <c r="L67">
        <v>70.2</v>
      </c>
      <c r="M67">
        <v>193.7</v>
      </c>
      <c r="N67">
        <v>3.3420000000000001</v>
      </c>
      <c r="O67">
        <v>18.5</v>
      </c>
      <c r="P67">
        <v>25</v>
      </c>
      <c r="Q67" s="1">
        <v>41014</v>
      </c>
      <c r="R67">
        <v>92.436889230000006</v>
      </c>
    </row>
    <row r="68" spans="1:18" x14ac:dyDescent="0.3">
      <c r="A68" t="s">
        <v>96</v>
      </c>
      <c r="B68" s="6" t="s">
        <v>97</v>
      </c>
      <c r="C68" s="6" t="str">
        <f t="shared" si="4"/>
        <v>Low Sales</v>
      </c>
      <c r="D68" s="2">
        <v>15.467000000000001</v>
      </c>
      <c r="F68" t="s">
        <v>18</v>
      </c>
      <c r="G68">
        <v>42.8</v>
      </c>
      <c r="H68">
        <v>3</v>
      </c>
      <c r="I68">
        <v>240</v>
      </c>
      <c r="J68" t="str" cm="1">
        <f t="array" ref="J68">_xlfn.IFS(I68&lt;120, "Weak", I68&lt;=200, "Moderate", I68&lt;=300, "Powerful", I68&gt;300, "Super")</f>
        <v>Powerful</v>
      </c>
      <c r="K68">
        <v>114.5</v>
      </c>
      <c r="L68">
        <v>71.599999999999994</v>
      </c>
      <c r="M68">
        <v>191.3</v>
      </c>
      <c r="N68">
        <v>3.65</v>
      </c>
      <c r="O68">
        <v>18.399999999999999</v>
      </c>
      <c r="P68">
        <v>21</v>
      </c>
      <c r="Q68" s="1">
        <v>41216</v>
      </c>
      <c r="R68">
        <v>102.17898479999999</v>
      </c>
    </row>
    <row r="69" spans="1:18" x14ac:dyDescent="0.3">
      <c r="A69" t="s">
        <v>98</v>
      </c>
      <c r="B69" s="6" t="s">
        <v>99</v>
      </c>
      <c r="C69" s="6" t="str">
        <f t="shared" si="4"/>
        <v>High Sales</v>
      </c>
      <c r="D69" s="2">
        <v>55.557000000000002</v>
      </c>
      <c r="E69" s="11">
        <v>13.475</v>
      </c>
      <c r="F69" t="s">
        <v>41</v>
      </c>
      <c r="G69">
        <v>14.46</v>
      </c>
      <c r="H69">
        <v>2.5</v>
      </c>
      <c r="I69">
        <v>120</v>
      </c>
      <c r="J69" t="str" cm="1">
        <f t="array" ref="J69">_xlfn.IFS(I69&lt;120, "Weak", I69&lt;=200, "Moderate", I69&lt;=300, "Powerful", I69&gt;300, "Super")</f>
        <v>Moderate</v>
      </c>
      <c r="K69">
        <v>93.4</v>
      </c>
      <c r="L69">
        <v>66.7</v>
      </c>
      <c r="M69">
        <v>152</v>
      </c>
      <c r="N69">
        <v>3.0449999999999999</v>
      </c>
      <c r="O69">
        <v>19</v>
      </c>
      <c r="P69">
        <v>17</v>
      </c>
      <c r="Q69" s="1">
        <v>40972</v>
      </c>
      <c r="R69">
        <v>48.672897910000003</v>
      </c>
    </row>
    <row r="70" spans="1:18" x14ac:dyDescent="0.3">
      <c r="A70" t="s">
        <v>98</v>
      </c>
      <c r="B70" s="6" t="s">
        <v>100</v>
      </c>
      <c r="C70" s="6" t="str">
        <f t="shared" si="4"/>
        <v>High Sales</v>
      </c>
      <c r="D70" s="2">
        <v>80.555999999999997</v>
      </c>
      <c r="E70" s="11">
        <v>13.775</v>
      </c>
      <c r="F70" t="s">
        <v>41</v>
      </c>
      <c r="G70">
        <v>21.62</v>
      </c>
      <c r="H70">
        <v>4</v>
      </c>
      <c r="I70">
        <v>190</v>
      </c>
      <c r="J70" t="str" cm="1">
        <f t="array" ref="J70">_xlfn.IFS(I70&lt;120, "Weak", I70&lt;=200, "Moderate", I70&lt;=300, "Powerful", I70&gt;300, "Super")</f>
        <v>Moderate</v>
      </c>
      <c r="K70">
        <v>101.4</v>
      </c>
      <c r="L70">
        <v>69.400000000000006</v>
      </c>
      <c r="M70">
        <v>167.5</v>
      </c>
      <c r="N70">
        <v>3.194</v>
      </c>
      <c r="O70">
        <v>20</v>
      </c>
      <c r="P70">
        <v>20</v>
      </c>
      <c r="Q70" s="1">
        <v>41187</v>
      </c>
      <c r="R70">
        <v>76.584439619999998</v>
      </c>
    </row>
    <row r="71" spans="1:18" x14ac:dyDescent="0.3">
      <c r="A71" t="s">
        <v>98</v>
      </c>
      <c r="B71" s="6" t="s">
        <v>101</v>
      </c>
      <c r="C71" s="6" t="str">
        <f t="shared" si="4"/>
        <v>High Sales</v>
      </c>
      <c r="D71" s="2">
        <v>157.04</v>
      </c>
      <c r="E71" s="11">
        <v>18.809999999999999</v>
      </c>
      <c r="F71" t="s">
        <v>41</v>
      </c>
      <c r="G71">
        <v>26.895</v>
      </c>
      <c r="H71">
        <v>4</v>
      </c>
      <c r="I71">
        <v>195</v>
      </c>
      <c r="J71" t="str" cm="1">
        <f t="array" ref="J71">_xlfn.IFS(I71&lt;120, "Weak", I71&lt;=200, "Moderate", I71&lt;=300, "Powerful", I71&gt;300, "Super")</f>
        <v>Moderate</v>
      </c>
      <c r="K71">
        <v>105.9</v>
      </c>
      <c r="L71">
        <v>72.3</v>
      </c>
      <c r="M71">
        <v>181.5</v>
      </c>
      <c r="N71">
        <v>3.88</v>
      </c>
      <c r="O71">
        <v>20.5</v>
      </c>
      <c r="P71">
        <v>19</v>
      </c>
      <c r="Q71" s="1">
        <v>40887</v>
      </c>
      <c r="R71">
        <v>80.387779120000005</v>
      </c>
    </row>
    <row r="72" spans="1:18" x14ac:dyDescent="0.3">
      <c r="A72" t="s">
        <v>102</v>
      </c>
      <c r="B72" s="6" t="s">
        <v>103</v>
      </c>
      <c r="C72" s="6" t="str">
        <f t="shared" si="4"/>
        <v>Low Sales</v>
      </c>
      <c r="D72" s="2">
        <v>24.071999999999999</v>
      </c>
      <c r="E72" s="11">
        <v>26.975000000000001</v>
      </c>
      <c r="F72" t="s">
        <v>18</v>
      </c>
      <c r="G72">
        <v>31.504999999999999</v>
      </c>
      <c r="H72">
        <v>3</v>
      </c>
      <c r="I72">
        <v>210</v>
      </c>
      <c r="J72" t="str" cm="1">
        <f t="array" ref="J72">_xlfn.IFS(I72&lt;120, "Weak", I72&lt;=200, "Moderate", I72&lt;=300, "Powerful", I72&gt;300, "Super")</f>
        <v>Powerful</v>
      </c>
      <c r="K72">
        <v>105.1</v>
      </c>
      <c r="L72">
        <v>70.5</v>
      </c>
      <c r="M72">
        <v>190.2</v>
      </c>
      <c r="N72">
        <v>3.3730000000000002</v>
      </c>
      <c r="O72">
        <v>18.5</v>
      </c>
      <c r="P72">
        <v>23</v>
      </c>
      <c r="Q72" s="1">
        <v>41099</v>
      </c>
      <c r="R72">
        <v>87.211001039999999</v>
      </c>
    </row>
    <row r="73" spans="1:18" x14ac:dyDescent="0.3">
      <c r="A73" t="s">
        <v>102</v>
      </c>
      <c r="B73" s="6" t="s">
        <v>104</v>
      </c>
      <c r="C73" s="6" t="str">
        <f t="shared" si="4"/>
        <v>Low Sales</v>
      </c>
      <c r="D73" s="2">
        <v>12.698</v>
      </c>
      <c r="E73" s="11">
        <v>32.075000000000003</v>
      </c>
      <c r="F73" t="s">
        <v>18</v>
      </c>
      <c r="G73">
        <v>37.805</v>
      </c>
      <c r="H73">
        <v>3</v>
      </c>
      <c r="I73">
        <v>225</v>
      </c>
      <c r="J73" t="str" cm="1">
        <f t="array" ref="J73">_xlfn.IFS(I73&lt;120, "Weak", I73&lt;=200, "Moderate", I73&lt;=300, "Powerful", I73&gt;300, "Super")</f>
        <v>Powerful</v>
      </c>
      <c r="K73">
        <v>110.2</v>
      </c>
      <c r="L73">
        <v>70.900000000000006</v>
      </c>
      <c r="M73">
        <v>189.2</v>
      </c>
      <c r="N73">
        <v>3.6379999999999999</v>
      </c>
      <c r="O73">
        <v>19.8</v>
      </c>
      <c r="P73">
        <v>23</v>
      </c>
      <c r="Q73" s="1">
        <v>41039</v>
      </c>
      <c r="R73">
        <v>94.946698400000002</v>
      </c>
    </row>
    <row r="74" spans="1:18" x14ac:dyDescent="0.3">
      <c r="A74" t="s">
        <v>102</v>
      </c>
      <c r="B74" s="6" t="s">
        <v>105</v>
      </c>
      <c r="C74" s="6" t="str">
        <f t="shared" si="4"/>
        <v>Low Sales</v>
      </c>
      <c r="D74" s="2">
        <v>3.3340000000000001</v>
      </c>
      <c r="F74" t="s">
        <v>18</v>
      </c>
      <c r="G74">
        <v>46.305</v>
      </c>
      <c r="H74">
        <v>4</v>
      </c>
      <c r="I74">
        <v>300</v>
      </c>
      <c r="J74" t="str" cm="1">
        <f t="array" ref="J74">_xlfn.IFS(I74&lt;120, "Weak", I74&lt;=200, "Moderate", I74&lt;=300, "Powerful", I74&gt;300, "Super")</f>
        <v>Powerful</v>
      </c>
      <c r="K74">
        <v>110.2</v>
      </c>
      <c r="L74">
        <v>70.900000000000006</v>
      </c>
      <c r="M74">
        <v>189.2</v>
      </c>
      <c r="N74">
        <v>3.6930000000000001</v>
      </c>
      <c r="O74">
        <v>19.8</v>
      </c>
      <c r="P74">
        <v>21</v>
      </c>
      <c r="Q74" s="1">
        <v>41241</v>
      </c>
      <c r="R74">
        <v>125.0133574</v>
      </c>
    </row>
    <row r="75" spans="1:18" x14ac:dyDescent="0.3">
      <c r="A75" t="s">
        <v>102</v>
      </c>
      <c r="B75" s="6" t="s">
        <v>106</v>
      </c>
      <c r="C75" s="6" t="str">
        <f t="shared" si="4"/>
        <v>Low Sales</v>
      </c>
      <c r="D75" s="2">
        <v>6.375</v>
      </c>
      <c r="E75" s="11">
        <v>40.375</v>
      </c>
      <c r="F75" t="s">
        <v>18</v>
      </c>
      <c r="G75">
        <v>54.005000000000003</v>
      </c>
      <c r="H75">
        <v>4</v>
      </c>
      <c r="I75">
        <v>290</v>
      </c>
      <c r="J75" t="str" cm="1">
        <f t="array" ref="J75">_xlfn.IFS(I75&lt;120, "Weak", I75&lt;=200, "Moderate", I75&lt;=300, "Powerful", I75&gt;300, "Super")</f>
        <v>Powerful</v>
      </c>
      <c r="K75">
        <v>112.2</v>
      </c>
      <c r="L75">
        <v>72</v>
      </c>
      <c r="M75">
        <v>196.7</v>
      </c>
      <c r="N75">
        <v>3.89</v>
      </c>
      <c r="O75">
        <v>22.5</v>
      </c>
      <c r="P75">
        <v>22</v>
      </c>
      <c r="Q75" s="1">
        <v>40997</v>
      </c>
      <c r="R75">
        <v>124.44671630000001</v>
      </c>
    </row>
    <row r="76" spans="1:18" x14ac:dyDescent="0.3">
      <c r="A76" t="s">
        <v>102</v>
      </c>
      <c r="B76" s="6" t="s">
        <v>107</v>
      </c>
      <c r="C76" s="6" t="str">
        <f t="shared" si="4"/>
        <v>Low Sales</v>
      </c>
      <c r="D76" s="2">
        <v>9.1259999999999994</v>
      </c>
      <c r="F76" t="s">
        <v>41</v>
      </c>
      <c r="G76">
        <v>60.104999999999997</v>
      </c>
      <c r="H76">
        <v>4.7</v>
      </c>
      <c r="I76">
        <v>230</v>
      </c>
      <c r="J76" t="str" cm="1">
        <f t="array" ref="J76">_xlfn.IFS(I76&lt;120, "Weak", I76&lt;=200, "Moderate", I76&lt;=300, "Powerful", I76&gt;300, "Super")</f>
        <v>Powerful</v>
      </c>
      <c r="K76">
        <v>112.2</v>
      </c>
      <c r="L76">
        <v>76.400000000000006</v>
      </c>
      <c r="M76">
        <v>192.5</v>
      </c>
      <c r="N76">
        <v>5.4009999999999998</v>
      </c>
      <c r="O76">
        <v>25.4</v>
      </c>
      <c r="P76">
        <v>15</v>
      </c>
      <c r="Q76" s="1">
        <v>41212</v>
      </c>
      <c r="R76">
        <v>105.760458</v>
      </c>
    </row>
    <row r="77" spans="1:18" x14ac:dyDescent="0.3">
      <c r="A77" t="s">
        <v>102</v>
      </c>
      <c r="B77" s="6" t="s">
        <v>108</v>
      </c>
      <c r="C77" s="6" t="str">
        <f t="shared" si="4"/>
        <v>High Sales</v>
      </c>
      <c r="D77" s="2">
        <v>51.238</v>
      </c>
      <c r="F77" t="s">
        <v>41</v>
      </c>
      <c r="G77">
        <v>34.604999999999997</v>
      </c>
      <c r="H77">
        <v>3</v>
      </c>
      <c r="I77">
        <v>220</v>
      </c>
      <c r="J77" t="str" cm="1">
        <f t="array" ref="J77">_xlfn.IFS(I77&lt;120, "Weak", I77&lt;=200, "Moderate", I77&lt;=300, "Powerful", I77&gt;300, "Super")</f>
        <v>Powerful</v>
      </c>
      <c r="K77">
        <v>103</v>
      </c>
      <c r="L77">
        <v>71.5</v>
      </c>
      <c r="M77">
        <v>180.1</v>
      </c>
      <c r="N77">
        <v>3.9</v>
      </c>
      <c r="O77">
        <v>17.2</v>
      </c>
      <c r="P77">
        <v>21</v>
      </c>
      <c r="Q77" s="1">
        <v>40912</v>
      </c>
      <c r="R77">
        <v>91.943801559999997</v>
      </c>
    </row>
    <row r="78" spans="1:18" x14ac:dyDescent="0.3">
      <c r="A78" t="s">
        <v>109</v>
      </c>
      <c r="B78" s="6" t="s">
        <v>110</v>
      </c>
      <c r="C78" s="6" t="str">
        <f t="shared" si="4"/>
        <v>Low Sales</v>
      </c>
      <c r="D78" s="2">
        <v>13.798</v>
      </c>
      <c r="E78" s="11">
        <v>20.524999999999999</v>
      </c>
      <c r="F78" t="s">
        <v>18</v>
      </c>
      <c r="G78">
        <v>39.08</v>
      </c>
      <c r="H78">
        <v>4.5999999999999996</v>
      </c>
      <c r="I78">
        <v>275</v>
      </c>
      <c r="J78" t="str" cm="1">
        <f t="array" ref="J78">_xlfn.IFS(I78&lt;120, "Weak", I78&lt;=200, "Moderate", I78&lt;=300, "Powerful", I78&gt;300, "Super")</f>
        <v>Powerful</v>
      </c>
      <c r="K78">
        <v>109</v>
      </c>
      <c r="L78">
        <v>73.599999999999994</v>
      </c>
      <c r="M78">
        <v>208.5</v>
      </c>
      <c r="N78">
        <v>3.8679999999999999</v>
      </c>
      <c r="O78">
        <v>20</v>
      </c>
      <c r="P78">
        <v>22</v>
      </c>
      <c r="Q78" s="1">
        <v>41124</v>
      </c>
      <c r="R78">
        <v>113.5402069</v>
      </c>
    </row>
    <row r="79" spans="1:18" x14ac:dyDescent="0.3">
      <c r="A79" t="s">
        <v>109</v>
      </c>
      <c r="B79" s="6" t="s">
        <v>111</v>
      </c>
      <c r="C79" s="6" t="str">
        <f t="shared" si="4"/>
        <v>Low Sales</v>
      </c>
      <c r="D79" s="2">
        <v>48.911000000000001</v>
      </c>
      <c r="E79" s="11">
        <v>21.725000000000001</v>
      </c>
      <c r="F79" t="s">
        <v>18</v>
      </c>
      <c r="G79">
        <v>43.33</v>
      </c>
      <c r="H79">
        <v>4.5999999999999996</v>
      </c>
      <c r="I79">
        <v>215</v>
      </c>
      <c r="J79" t="str" cm="1">
        <f t="array" ref="J79">_xlfn.IFS(I79&lt;120, "Weak", I79&lt;=200, "Moderate", I79&lt;=300, "Powerful", I79&gt;300, "Super")</f>
        <v>Powerful</v>
      </c>
      <c r="K79">
        <v>117.7</v>
      </c>
      <c r="L79">
        <v>78.2</v>
      </c>
      <c r="M79">
        <v>215.3</v>
      </c>
      <c r="N79">
        <v>4.1210000000000004</v>
      </c>
      <c r="O79">
        <v>19</v>
      </c>
      <c r="P79">
        <v>21</v>
      </c>
      <c r="Q79" s="1">
        <v>41064</v>
      </c>
      <c r="R79">
        <v>93.957916900000001</v>
      </c>
    </row>
    <row r="80" spans="1:18" x14ac:dyDescent="0.3">
      <c r="A80" t="s">
        <v>109</v>
      </c>
      <c r="B80" s="6" t="s">
        <v>112</v>
      </c>
      <c r="C80" s="6" t="str">
        <f t="shared" si="4"/>
        <v>Low Sales</v>
      </c>
      <c r="D80" s="2">
        <v>22.925000000000001</v>
      </c>
      <c r="F80" t="s">
        <v>41</v>
      </c>
      <c r="G80">
        <v>42.66</v>
      </c>
      <c r="H80">
        <v>5.4</v>
      </c>
      <c r="I80">
        <v>300</v>
      </c>
      <c r="J80" t="str" cm="1">
        <f t="array" ref="J80">_xlfn.IFS(I80&lt;120, "Weak", I80&lt;=200, "Moderate", I80&lt;=300, "Powerful", I80&gt;300, "Super")</f>
        <v>Powerful</v>
      </c>
      <c r="K80">
        <v>119</v>
      </c>
      <c r="L80">
        <v>79.900000000000006</v>
      </c>
      <c r="M80">
        <v>204.8</v>
      </c>
      <c r="N80">
        <v>5.3929999999999998</v>
      </c>
      <c r="O80">
        <v>30</v>
      </c>
      <c r="P80">
        <v>15</v>
      </c>
      <c r="Q80" s="1">
        <v>41266</v>
      </c>
      <c r="R80">
        <v>123.97204670000001</v>
      </c>
    </row>
    <row r="81" spans="1:18" x14ac:dyDescent="0.3">
      <c r="A81" t="s">
        <v>113</v>
      </c>
      <c r="B81" s="6" t="s">
        <v>114</v>
      </c>
      <c r="C81" s="6" t="str">
        <f t="shared" si="4"/>
        <v>Low Sales</v>
      </c>
      <c r="D81" s="2">
        <v>26.231999999999999</v>
      </c>
      <c r="E81" s="11">
        <v>8.3249999999999993</v>
      </c>
      <c r="F81" t="s">
        <v>18</v>
      </c>
      <c r="G81">
        <v>13.987</v>
      </c>
      <c r="H81">
        <v>1.8</v>
      </c>
      <c r="I81">
        <v>113</v>
      </c>
      <c r="J81" t="str" cm="1">
        <f t="array" ref="J81">_xlfn.IFS(I81&lt;120, "Weak", I81&lt;=200, "Moderate", I81&lt;=300, "Powerful", I81&gt;300, "Super")</f>
        <v>Weak</v>
      </c>
      <c r="K81">
        <v>98.4</v>
      </c>
      <c r="L81">
        <v>66.5</v>
      </c>
      <c r="M81">
        <v>173.6</v>
      </c>
      <c r="N81">
        <v>2.25</v>
      </c>
      <c r="O81">
        <v>13.2</v>
      </c>
      <c r="P81">
        <v>30</v>
      </c>
      <c r="Q81" s="1">
        <v>41022</v>
      </c>
      <c r="R81">
        <v>45.832180559999998</v>
      </c>
    </row>
    <row r="82" spans="1:18" x14ac:dyDescent="0.3">
      <c r="A82" t="s">
        <v>113</v>
      </c>
      <c r="B82" s="6" t="s">
        <v>115</v>
      </c>
      <c r="C82" s="6" t="str">
        <f t="shared" si="4"/>
        <v>Low Sales</v>
      </c>
      <c r="D82" s="2">
        <v>42.540999999999997</v>
      </c>
      <c r="E82" s="11">
        <v>10.395</v>
      </c>
      <c r="F82" t="s">
        <v>18</v>
      </c>
      <c r="G82">
        <v>19.047000000000001</v>
      </c>
      <c r="H82">
        <v>2.4</v>
      </c>
      <c r="I82">
        <v>154</v>
      </c>
      <c r="J82" t="str" cm="1">
        <f t="array" ref="J82">_xlfn.IFS(I82&lt;120, "Weak", I82&lt;=200, "Moderate", I82&lt;=300, "Powerful", I82&gt;300, "Super")</f>
        <v>Moderate</v>
      </c>
      <c r="K82">
        <v>100.8</v>
      </c>
      <c r="L82">
        <v>68.900000000000006</v>
      </c>
      <c r="M82">
        <v>175.4</v>
      </c>
      <c r="N82">
        <v>2.91</v>
      </c>
      <c r="O82">
        <v>15.9</v>
      </c>
      <c r="P82">
        <v>24</v>
      </c>
      <c r="Q82" s="1">
        <v>41237</v>
      </c>
      <c r="R82">
        <v>62.441962349999997</v>
      </c>
    </row>
    <row r="83" spans="1:18" x14ac:dyDescent="0.3">
      <c r="A83" t="s">
        <v>113</v>
      </c>
      <c r="B83" s="6" t="s">
        <v>116</v>
      </c>
      <c r="C83" s="6" t="str">
        <f t="shared" si="4"/>
        <v>High Sales</v>
      </c>
      <c r="D83" s="2">
        <v>55.616</v>
      </c>
      <c r="E83" s="11">
        <v>10.595000000000001</v>
      </c>
      <c r="F83" t="s">
        <v>18</v>
      </c>
      <c r="G83">
        <v>17.356999999999999</v>
      </c>
      <c r="H83">
        <v>2.4</v>
      </c>
      <c r="I83">
        <v>145</v>
      </c>
      <c r="J83" t="str" cm="1">
        <f t="array" ref="J83">_xlfn.IFS(I83&lt;120, "Weak", I83&lt;=200, "Moderate", I83&lt;=300, "Powerful", I83&gt;300, "Super")</f>
        <v>Moderate</v>
      </c>
      <c r="K83">
        <v>103.7</v>
      </c>
      <c r="L83">
        <v>68.5</v>
      </c>
      <c r="M83">
        <v>187.8</v>
      </c>
      <c r="N83">
        <v>2.9449999999999998</v>
      </c>
      <c r="O83">
        <v>16.3</v>
      </c>
      <c r="P83">
        <v>25</v>
      </c>
      <c r="Q83" s="1">
        <v>40937</v>
      </c>
      <c r="R83">
        <v>58.606772919999997</v>
      </c>
    </row>
    <row r="84" spans="1:18" x14ac:dyDescent="0.3">
      <c r="A84" t="s">
        <v>113</v>
      </c>
      <c r="B84" s="6" t="s">
        <v>117</v>
      </c>
      <c r="C84" s="6" t="str">
        <f t="shared" si="4"/>
        <v>Low Sales</v>
      </c>
      <c r="D84" s="2">
        <v>5.7110000000000003</v>
      </c>
      <c r="E84" s="11">
        <v>16.574999999999999</v>
      </c>
      <c r="F84" t="s">
        <v>18</v>
      </c>
      <c r="G84">
        <v>24.997</v>
      </c>
      <c r="H84">
        <v>3.5</v>
      </c>
      <c r="I84">
        <v>210</v>
      </c>
      <c r="J84" t="str" cm="1">
        <f t="array" ref="J84">_xlfn.IFS(I84&lt;120, "Weak", I84&lt;=200, "Moderate", I84&lt;=300, "Powerful", I84&gt;300, "Super")</f>
        <v>Powerful</v>
      </c>
      <c r="K84">
        <v>107.1</v>
      </c>
      <c r="L84">
        <v>70.3</v>
      </c>
      <c r="M84">
        <v>194.1</v>
      </c>
      <c r="N84">
        <v>3.4430000000000001</v>
      </c>
      <c r="O84">
        <v>19</v>
      </c>
      <c r="P84">
        <v>22</v>
      </c>
      <c r="Q84" s="1">
        <v>41149</v>
      </c>
      <c r="R84">
        <v>84.83077858</v>
      </c>
    </row>
    <row r="85" spans="1:18" x14ac:dyDescent="0.3">
      <c r="A85" t="s">
        <v>113</v>
      </c>
      <c r="B85" s="6" t="s">
        <v>118</v>
      </c>
      <c r="C85" s="6" t="str">
        <f t="shared" si="4"/>
        <v>Low Sales</v>
      </c>
      <c r="D85" s="2">
        <v>0.11</v>
      </c>
      <c r="E85" s="11">
        <v>20.94</v>
      </c>
      <c r="F85" t="s">
        <v>18</v>
      </c>
      <c r="G85">
        <v>25.45</v>
      </c>
      <c r="H85">
        <v>3</v>
      </c>
      <c r="I85">
        <v>161</v>
      </c>
      <c r="J85" t="str" cm="1">
        <f t="array" ref="J85">_xlfn.IFS(I85&lt;120, "Weak", I85&lt;=200, "Moderate", I85&lt;=300, "Powerful", I85&gt;300, "Super")</f>
        <v>Moderate</v>
      </c>
      <c r="K85">
        <v>97.2</v>
      </c>
      <c r="L85">
        <v>72.400000000000006</v>
      </c>
      <c r="M85">
        <v>180.3</v>
      </c>
      <c r="N85">
        <v>3.1309999999999998</v>
      </c>
      <c r="O85">
        <v>19.8</v>
      </c>
      <c r="P85">
        <v>21</v>
      </c>
      <c r="Q85" s="1">
        <v>41089</v>
      </c>
      <c r="R85">
        <v>67.544154939999999</v>
      </c>
    </row>
    <row r="86" spans="1:18" x14ac:dyDescent="0.3">
      <c r="A86" t="s">
        <v>113</v>
      </c>
      <c r="B86" s="6" t="s">
        <v>119</v>
      </c>
      <c r="C86" s="6" t="str">
        <f t="shared" si="4"/>
        <v>Low Sales</v>
      </c>
      <c r="D86" s="2">
        <v>11.337</v>
      </c>
      <c r="E86" s="11">
        <v>19.125</v>
      </c>
      <c r="F86" t="s">
        <v>41</v>
      </c>
      <c r="G86">
        <v>31.806999999999999</v>
      </c>
      <c r="H86">
        <v>3.5</v>
      </c>
      <c r="I86">
        <v>200</v>
      </c>
      <c r="J86" t="str" cm="1">
        <f t="array" ref="J86">_xlfn.IFS(I86&lt;120, "Weak", I86&lt;=200, "Moderate", I86&lt;=300, "Powerful", I86&gt;300, "Super")</f>
        <v>Moderate</v>
      </c>
      <c r="K86">
        <v>107.3</v>
      </c>
      <c r="L86">
        <v>69.900000000000006</v>
      </c>
      <c r="M86">
        <v>186.6</v>
      </c>
      <c r="N86">
        <v>4.5199999999999996</v>
      </c>
      <c r="O86">
        <v>24.3</v>
      </c>
      <c r="P86">
        <v>18</v>
      </c>
      <c r="Q86" s="1">
        <v>40925</v>
      </c>
      <c r="R86">
        <v>83.920815039999994</v>
      </c>
    </row>
    <row r="87" spans="1:18" x14ac:dyDescent="0.3">
      <c r="A87" t="s">
        <v>113</v>
      </c>
      <c r="B87" s="6" t="s">
        <v>120</v>
      </c>
      <c r="C87" s="6" t="str">
        <f t="shared" si="4"/>
        <v>Low Sales</v>
      </c>
      <c r="D87" s="2">
        <v>39.347999999999999</v>
      </c>
      <c r="E87" s="11">
        <v>13.88</v>
      </c>
      <c r="F87" t="s">
        <v>41</v>
      </c>
      <c r="G87">
        <v>22.527000000000001</v>
      </c>
      <c r="H87">
        <v>3</v>
      </c>
      <c r="I87">
        <v>173</v>
      </c>
      <c r="J87" t="str" cm="1">
        <f t="array" ref="J87">_xlfn.IFS(I87&lt;120, "Weak", I87&lt;=200, "Moderate", I87&lt;=300, "Powerful", I87&gt;300, "Super")</f>
        <v>Moderate</v>
      </c>
      <c r="K87">
        <v>107.3</v>
      </c>
      <c r="L87">
        <v>66.7</v>
      </c>
      <c r="M87">
        <v>178.3</v>
      </c>
      <c r="N87">
        <v>3.51</v>
      </c>
      <c r="O87">
        <v>19.5</v>
      </c>
      <c r="P87">
        <v>20</v>
      </c>
      <c r="Q87" s="1">
        <v>41047</v>
      </c>
      <c r="R87">
        <v>70.660941789999995</v>
      </c>
    </row>
    <row r="88" spans="1:18" x14ac:dyDescent="0.3">
      <c r="A88" t="s">
        <v>121</v>
      </c>
      <c r="B88" s="6" t="s">
        <v>122</v>
      </c>
      <c r="C88" s="6" t="str">
        <f t="shared" si="4"/>
        <v>Low Sales</v>
      </c>
      <c r="D88" s="2">
        <v>14.351000000000001</v>
      </c>
      <c r="E88" s="11">
        <v>8.8000000000000007</v>
      </c>
      <c r="F88" t="s">
        <v>18</v>
      </c>
      <c r="G88">
        <v>16.239999999999998</v>
      </c>
      <c r="H88">
        <v>2</v>
      </c>
      <c r="I88">
        <v>125</v>
      </c>
      <c r="J88" t="str" cm="1">
        <f t="array" ref="J88">_xlfn.IFS(I88&lt;120, "Weak", I88&lt;=200, "Moderate", I88&lt;=300, "Powerful", I88&gt;300, "Super")</f>
        <v>Moderate</v>
      </c>
      <c r="K88">
        <v>106.5</v>
      </c>
      <c r="L88">
        <v>69.099999999999994</v>
      </c>
      <c r="M88">
        <v>184.8</v>
      </c>
      <c r="N88">
        <v>2.7690000000000001</v>
      </c>
      <c r="O88">
        <v>15</v>
      </c>
      <c r="P88">
        <v>28</v>
      </c>
      <c r="Q88" s="1">
        <v>41262</v>
      </c>
      <c r="R88">
        <v>50.997747609999998</v>
      </c>
    </row>
    <row r="89" spans="1:18" x14ac:dyDescent="0.3">
      <c r="A89" t="s">
        <v>121</v>
      </c>
      <c r="B89" s="6" t="s">
        <v>123</v>
      </c>
      <c r="C89" s="6" t="str">
        <f t="shared" si="4"/>
        <v>Low Sales</v>
      </c>
      <c r="D89" s="2">
        <v>26.529</v>
      </c>
      <c r="E89" s="11">
        <v>13.89</v>
      </c>
      <c r="F89" t="s">
        <v>18</v>
      </c>
      <c r="G89">
        <v>16.54</v>
      </c>
      <c r="H89">
        <v>2</v>
      </c>
      <c r="I89">
        <v>125</v>
      </c>
      <c r="J89" t="str" cm="1">
        <f t="array" ref="J89">_xlfn.IFS(I89&lt;120, "Weak", I89&lt;=200, "Moderate", I89&lt;=300, "Powerful", I89&gt;300, "Super")</f>
        <v>Moderate</v>
      </c>
      <c r="K89">
        <v>106.4</v>
      </c>
      <c r="L89">
        <v>69.599999999999994</v>
      </c>
      <c r="M89">
        <v>185</v>
      </c>
      <c r="N89">
        <v>2.8919999999999999</v>
      </c>
      <c r="O89">
        <v>16</v>
      </c>
      <c r="P89">
        <v>30</v>
      </c>
      <c r="Q89" s="1">
        <v>40962</v>
      </c>
      <c r="R89">
        <v>51.113474259999997</v>
      </c>
    </row>
    <row r="90" spans="1:18" x14ac:dyDescent="0.3">
      <c r="A90" t="s">
        <v>121</v>
      </c>
      <c r="B90" s="6" t="s">
        <v>124</v>
      </c>
      <c r="C90" s="6" t="str">
        <f t="shared" si="4"/>
        <v>High Sales</v>
      </c>
      <c r="D90" s="2">
        <v>67.956000000000003</v>
      </c>
      <c r="E90" s="11">
        <v>11.03</v>
      </c>
      <c r="F90" t="s">
        <v>18</v>
      </c>
      <c r="G90">
        <v>19.035</v>
      </c>
      <c r="H90">
        <v>3</v>
      </c>
      <c r="I90">
        <v>153</v>
      </c>
      <c r="J90" t="str" cm="1">
        <f t="array" ref="J90">_xlfn.IFS(I90&lt;120, "Weak", I90&lt;=200, "Moderate", I90&lt;=300, "Powerful", I90&gt;300, "Super")</f>
        <v>Moderate</v>
      </c>
      <c r="K90">
        <v>108.5</v>
      </c>
      <c r="L90">
        <v>73</v>
      </c>
      <c r="M90">
        <v>199.7</v>
      </c>
      <c r="N90">
        <v>3.379</v>
      </c>
      <c r="O90">
        <v>16</v>
      </c>
      <c r="P90">
        <v>24</v>
      </c>
      <c r="Q90" s="1">
        <v>41174</v>
      </c>
      <c r="R90">
        <v>62.239966629999998</v>
      </c>
    </row>
    <row r="91" spans="1:18" x14ac:dyDescent="0.3">
      <c r="A91" t="s">
        <v>121</v>
      </c>
      <c r="B91" s="6" t="s">
        <v>125</v>
      </c>
      <c r="C91" s="6" t="str">
        <f t="shared" si="4"/>
        <v>High Sales</v>
      </c>
      <c r="D91" s="2">
        <v>81.174000000000007</v>
      </c>
      <c r="E91" s="11">
        <v>14.875</v>
      </c>
      <c r="F91" t="s">
        <v>18</v>
      </c>
      <c r="G91">
        <v>22.605</v>
      </c>
      <c r="H91">
        <v>4.5999999999999996</v>
      </c>
      <c r="I91">
        <v>200</v>
      </c>
      <c r="J91" t="str" cm="1">
        <f t="array" ref="J91">_xlfn.IFS(I91&lt;120, "Weak", I91&lt;=200, "Moderate", I91&lt;=300, "Powerful", I91&gt;300, "Super")</f>
        <v>Moderate</v>
      </c>
      <c r="K91">
        <v>114.7</v>
      </c>
      <c r="L91">
        <v>78.2</v>
      </c>
      <c r="M91">
        <v>212</v>
      </c>
      <c r="N91">
        <v>3.9580000000000002</v>
      </c>
      <c r="O91">
        <v>19</v>
      </c>
      <c r="P91">
        <v>21</v>
      </c>
      <c r="Q91" s="1">
        <v>41114</v>
      </c>
      <c r="R91">
        <v>80.657696459999997</v>
      </c>
    </row>
    <row r="92" spans="1:18" x14ac:dyDescent="0.3">
      <c r="A92" t="s">
        <v>121</v>
      </c>
      <c r="B92" s="6" t="s">
        <v>126</v>
      </c>
      <c r="C92" s="6" t="str">
        <f t="shared" si="4"/>
        <v>Low Sales</v>
      </c>
      <c r="D92" s="2">
        <v>27.609000000000002</v>
      </c>
      <c r="E92" s="11">
        <v>20.43</v>
      </c>
      <c r="F92" t="s">
        <v>41</v>
      </c>
      <c r="G92">
        <v>27.56</v>
      </c>
      <c r="H92">
        <v>4</v>
      </c>
      <c r="I92">
        <v>210</v>
      </c>
      <c r="J92" t="str" cm="1">
        <f t="array" ref="J92">_xlfn.IFS(I92&lt;120, "Weak", I92&lt;=200, "Moderate", I92&lt;=300, "Powerful", I92&gt;300, "Super")</f>
        <v>Powerful</v>
      </c>
      <c r="K92">
        <v>111.6</v>
      </c>
      <c r="L92">
        <v>70.2</v>
      </c>
      <c r="M92">
        <v>190.1</v>
      </c>
      <c r="N92">
        <v>3.8759999999999999</v>
      </c>
      <c r="O92">
        <v>21</v>
      </c>
      <c r="P92">
        <v>18</v>
      </c>
      <c r="Q92" s="1">
        <v>39491</v>
      </c>
      <c r="R92">
        <v>85.949744249999995</v>
      </c>
    </row>
    <row r="93" spans="1:18" x14ac:dyDescent="0.3">
      <c r="A93" t="s">
        <v>121</v>
      </c>
      <c r="B93" s="6" t="s">
        <v>127</v>
      </c>
      <c r="C93" s="6" t="str">
        <f t="shared" si="4"/>
        <v>Low Sales</v>
      </c>
      <c r="D93" s="2">
        <v>20.38</v>
      </c>
      <c r="E93" s="11">
        <v>14.795</v>
      </c>
      <c r="F93" t="s">
        <v>41</v>
      </c>
      <c r="G93">
        <v>22.51</v>
      </c>
      <c r="H93">
        <v>3.3</v>
      </c>
      <c r="I93">
        <v>170</v>
      </c>
      <c r="J93" t="str" cm="1">
        <f t="array" ref="J93">_xlfn.IFS(I93&lt;120, "Weak", I93&lt;=200, "Moderate", I93&lt;=300, "Powerful", I93&gt;300, "Super")</f>
        <v>Moderate</v>
      </c>
      <c r="K93">
        <v>112.2</v>
      </c>
      <c r="L93">
        <v>74.900000000000006</v>
      </c>
      <c r="M93">
        <v>194.7</v>
      </c>
      <c r="N93">
        <v>3.944</v>
      </c>
      <c r="O93">
        <v>20</v>
      </c>
      <c r="P93">
        <v>21</v>
      </c>
      <c r="Q93" s="1">
        <v>40106</v>
      </c>
      <c r="R93">
        <v>69.671460999999994</v>
      </c>
    </row>
    <row r="94" spans="1:18" x14ac:dyDescent="0.3">
      <c r="A94" t="s">
        <v>128</v>
      </c>
      <c r="B94" s="6" t="s">
        <v>129</v>
      </c>
      <c r="C94" s="6" t="str">
        <f t="shared" si="4"/>
        <v>Low Sales</v>
      </c>
      <c r="D94" s="2">
        <v>18.391999999999999</v>
      </c>
      <c r="E94" s="11">
        <v>26.05</v>
      </c>
      <c r="F94" t="s">
        <v>18</v>
      </c>
      <c r="G94">
        <v>31.75</v>
      </c>
      <c r="H94">
        <v>2.2999999999999998</v>
      </c>
      <c r="I94">
        <v>185</v>
      </c>
      <c r="J94" t="str" cm="1">
        <f t="array" ref="J94">_xlfn.IFS(I94&lt;120, "Weak", I94&lt;=200, "Moderate", I94&lt;=300, "Powerful", I94&gt;300, "Super")</f>
        <v>Moderate</v>
      </c>
      <c r="K94">
        <v>105.9</v>
      </c>
      <c r="L94">
        <v>67.7</v>
      </c>
      <c r="M94">
        <v>177.4</v>
      </c>
      <c r="N94">
        <v>3.25</v>
      </c>
      <c r="O94">
        <v>16.399999999999999</v>
      </c>
      <c r="P94">
        <v>26</v>
      </c>
      <c r="Q94" s="1">
        <v>40657</v>
      </c>
      <c r="R94">
        <v>78.280730879999993</v>
      </c>
    </row>
    <row r="95" spans="1:18" x14ac:dyDescent="0.3">
      <c r="A95" t="s">
        <v>128</v>
      </c>
      <c r="B95" s="6" t="s">
        <v>130</v>
      </c>
      <c r="C95" s="6" t="str">
        <f t="shared" si="4"/>
        <v>Low Sales</v>
      </c>
      <c r="D95" s="2">
        <v>27.602</v>
      </c>
      <c r="E95" s="11">
        <v>41.45</v>
      </c>
      <c r="F95" t="s">
        <v>18</v>
      </c>
      <c r="G95">
        <v>49.9</v>
      </c>
      <c r="H95">
        <v>3.2</v>
      </c>
      <c r="I95">
        <v>221</v>
      </c>
      <c r="J95" t="str" cm="1">
        <f t="array" ref="J95">_xlfn.IFS(I95&lt;120, "Weak", I95&lt;=200, "Moderate", I95&lt;=300, "Powerful", I95&gt;300, "Super")</f>
        <v>Powerful</v>
      </c>
      <c r="K95">
        <v>111.5</v>
      </c>
      <c r="L95">
        <v>70.8</v>
      </c>
      <c r="M95">
        <v>189.4</v>
      </c>
      <c r="N95">
        <v>3.823</v>
      </c>
      <c r="O95">
        <v>21.1</v>
      </c>
      <c r="P95">
        <v>25</v>
      </c>
      <c r="Q95" s="1">
        <v>40736</v>
      </c>
      <c r="R95">
        <v>98.249737499999995</v>
      </c>
    </row>
    <row r="96" spans="1:18" x14ac:dyDescent="0.3">
      <c r="A96" t="s">
        <v>128</v>
      </c>
      <c r="B96" s="6" t="s">
        <v>131</v>
      </c>
      <c r="C96" s="6" t="str">
        <f t="shared" si="4"/>
        <v>Low Sales</v>
      </c>
      <c r="D96" s="2">
        <v>16.774000000000001</v>
      </c>
      <c r="E96" s="11">
        <v>50.375</v>
      </c>
      <c r="F96" t="s">
        <v>18</v>
      </c>
      <c r="G96">
        <v>69.7</v>
      </c>
      <c r="H96">
        <v>4.3</v>
      </c>
      <c r="I96">
        <v>275</v>
      </c>
      <c r="J96" t="str" cm="1">
        <f t="array" ref="J96">_xlfn.IFS(I96&lt;120, "Weak", I96&lt;=200, "Moderate", I96&lt;=300, "Powerful", I96&gt;300, "Super")</f>
        <v>Powerful</v>
      </c>
      <c r="K96">
        <v>121.5</v>
      </c>
      <c r="L96">
        <v>73.099999999999994</v>
      </c>
      <c r="M96">
        <v>203.1</v>
      </c>
      <c r="N96">
        <v>4.133</v>
      </c>
      <c r="O96">
        <v>23.2</v>
      </c>
      <c r="P96">
        <v>21</v>
      </c>
      <c r="Q96" s="1">
        <v>40707</v>
      </c>
      <c r="R96">
        <v>125.2738757</v>
      </c>
    </row>
    <row r="97" spans="1:18" x14ac:dyDescent="0.3">
      <c r="A97" t="s">
        <v>128</v>
      </c>
      <c r="B97" s="6" t="s">
        <v>132</v>
      </c>
      <c r="C97" s="6" t="str">
        <f t="shared" si="4"/>
        <v>Low Sales</v>
      </c>
      <c r="D97" s="2">
        <v>3.3109999999999999</v>
      </c>
      <c r="E97" s="11">
        <v>58.6</v>
      </c>
      <c r="F97" t="s">
        <v>18</v>
      </c>
      <c r="G97">
        <v>82.6</v>
      </c>
      <c r="H97">
        <v>5</v>
      </c>
      <c r="I97">
        <v>302</v>
      </c>
      <c r="J97" t="str" cm="1">
        <f t="array" ref="J97">_xlfn.IFS(I97&lt;120, "Weak", I97&lt;=200, "Moderate", I97&lt;=300, "Powerful", I97&gt;300, "Super")</f>
        <v>Super</v>
      </c>
      <c r="K97">
        <v>99</v>
      </c>
      <c r="L97">
        <v>71.3</v>
      </c>
      <c r="M97">
        <v>177.1</v>
      </c>
      <c r="N97">
        <v>4.125</v>
      </c>
      <c r="O97">
        <v>21.1</v>
      </c>
      <c r="P97">
        <v>20</v>
      </c>
      <c r="Q97" s="1">
        <v>40619</v>
      </c>
      <c r="R97">
        <v>139.98229359999999</v>
      </c>
    </row>
    <row r="98" spans="1:18" x14ac:dyDescent="0.3">
      <c r="A98" t="s">
        <v>128</v>
      </c>
      <c r="B98" s="6" t="s">
        <v>133</v>
      </c>
      <c r="C98" s="6" t="str">
        <f t="shared" ref="C98:C129" si="5">IF(D98&gt;50,"High Sales","Low Sales")</f>
        <v>Low Sales</v>
      </c>
      <c r="D98" s="2">
        <v>7.9980000000000002</v>
      </c>
      <c r="F98" t="s">
        <v>18</v>
      </c>
      <c r="G98">
        <v>38.9</v>
      </c>
      <c r="H98">
        <v>2.2999999999999998</v>
      </c>
      <c r="I98">
        <v>190</v>
      </c>
      <c r="J98" t="str" cm="1">
        <f t="array" ref="J98">_xlfn.IFS(I98&lt;120, "Weak", I98&lt;=200, "Moderate", I98&lt;=300, "Powerful", I98&gt;300, "Super")</f>
        <v>Moderate</v>
      </c>
      <c r="K98">
        <v>94.5</v>
      </c>
      <c r="L98">
        <v>67.5</v>
      </c>
      <c r="M98">
        <v>157.9</v>
      </c>
      <c r="N98">
        <v>3.0550000000000002</v>
      </c>
      <c r="O98">
        <v>15.9</v>
      </c>
      <c r="P98">
        <v>26</v>
      </c>
      <c r="Q98" s="1">
        <v>40559</v>
      </c>
      <c r="R98">
        <v>82.807361929999999</v>
      </c>
    </row>
    <row r="99" spans="1:18" x14ac:dyDescent="0.3">
      <c r="A99" t="s">
        <v>128</v>
      </c>
      <c r="B99" s="6" t="s">
        <v>134</v>
      </c>
      <c r="C99" s="6" t="str">
        <f t="shared" si="5"/>
        <v>Low Sales</v>
      </c>
      <c r="D99" s="2">
        <v>1.526</v>
      </c>
      <c r="F99" t="s">
        <v>18</v>
      </c>
      <c r="G99">
        <v>41</v>
      </c>
      <c r="H99">
        <v>2.2999999999999998</v>
      </c>
      <c r="I99">
        <v>185</v>
      </c>
      <c r="J99" t="str" cm="1">
        <f t="array" ref="J99">_xlfn.IFS(I99&lt;120, "Weak", I99&lt;=200, "Moderate", I99&lt;=300, "Powerful", I99&gt;300, "Super")</f>
        <v>Moderate</v>
      </c>
      <c r="K99">
        <v>94.5</v>
      </c>
      <c r="L99">
        <v>67.5</v>
      </c>
      <c r="M99">
        <v>157.30000000000001</v>
      </c>
      <c r="N99">
        <v>2.9750000000000001</v>
      </c>
      <c r="O99">
        <v>14</v>
      </c>
      <c r="P99">
        <v>27</v>
      </c>
      <c r="Q99" s="1">
        <v>40761</v>
      </c>
      <c r="R99">
        <v>81.848969240000002</v>
      </c>
    </row>
    <row r="100" spans="1:18" x14ac:dyDescent="0.3">
      <c r="A100" t="s">
        <v>128</v>
      </c>
      <c r="B100" s="6" t="s">
        <v>135</v>
      </c>
      <c r="C100" s="6" t="str">
        <f t="shared" si="5"/>
        <v>Low Sales</v>
      </c>
      <c r="D100" s="2">
        <v>11.592000000000001</v>
      </c>
      <c r="F100" t="s">
        <v>18</v>
      </c>
      <c r="G100">
        <v>41.6</v>
      </c>
      <c r="H100">
        <v>3.2</v>
      </c>
      <c r="I100">
        <v>215</v>
      </c>
      <c r="J100" t="str" cm="1">
        <f t="array" ref="J100">_xlfn.IFS(I100&lt;120, "Weak", I100&lt;=200, "Moderate", I100&lt;=300, "Powerful", I100&gt;300, "Super")</f>
        <v>Powerful</v>
      </c>
      <c r="K100">
        <v>105.9</v>
      </c>
      <c r="L100">
        <v>67.8</v>
      </c>
      <c r="M100">
        <v>180.3</v>
      </c>
      <c r="N100">
        <v>3.2130000000000001</v>
      </c>
      <c r="O100">
        <v>16.399999999999999</v>
      </c>
      <c r="P100">
        <v>26</v>
      </c>
      <c r="Q100" s="1">
        <v>40732</v>
      </c>
      <c r="R100">
        <v>92.925791770000004</v>
      </c>
    </row>
    <row r="101" spans="1:18" x14ac:dyDescent="0.3">
      <c r="A101" t="s">
        <v>128</v>
      </c>
      <c r="B101" s="6" t="s">
        <v>136</v>
      </c>
      <c r="C101" s="6" t="str">
        <f t="shared" si="5"/>
        <v>Low Sales</v>
      </c>
      <c r="D101" s="2">
        <v>0.95399999999999996</v>
      </c>
      <c r="F101" t="s">
        <v>18</v>
      </c>
      <c r="G101">
        <v>85.5</v>
      </c>
      <c r="H101">
        <v>5</v>
      </c>
      <c r="I101">
        <v>302</v>
      </c>
      <c r="J101" t="str" cm="1">
        <f t="array" ref="J101">_xlfn.IFS(I101&lt;120, "Weak", I101&lt;=200, "Moderate", I101&lt;=300, "Powerful", I101&gt;300, "Super")</f>
        <v>Super</v>
      </c>
      <c r="K101">
        <v>113.6</v>
      </c>
      <c r="L101">
        <v>73.099999999999994</v>
      </c>
      <c r="M101">
        <v>196.6</v>
      </c>
      <c r="N101">
        <v>4.1150000000000002</v>
      </c>
      <c r="O101">
        <v>23.2</v>
      </c>
      <c r="P101">
        <v>20</v>
      </c>
      <c r="Q101" s="1">
        <v>40644</v>
      </c>
      <c r="R101">
        <v>141.10098450000001</v>
      </c>
    </row>
    <row r="102" spans="1:18" x14ac:dyDescent="0.3">
      <c r="A102" t="s">
        <v>128</v>
      </c>
      <c r="B102" s="6" t="s">
        <v>137</v>
      </c>
      <c r="C102" s="6" t="str">
        <f t="shared" si="5"/>
        <v>Low Sales</v>
      </c>
      <c r="D102" s="2">
        <v>28.975999999999999</v>
      </c>
      <c r="F102" t="s">
        <v>41</v>
      </c>
      <c r="G102">
        <v>35.299999999999997</v>
      </c>
      <c r="H102">
        <v>3.2</v>
      </c>
      <c r="I102">
        <v>215</v>
      </c>
      <c r="J102" t="str" cm="1">
        <f t="array" ref="J102">_xlfn.IFS(I102&lt;120, "Weak", I102&lt;=200, "Moderate", I102&lt;=300, "Powerful", I102&gt;300, "Super")</f>
        <v>Powerful</v>
      </c>
      <c r="K102">
        <v>111</v>
      </c>
      <c r="L102">
        <v>72.2</v>
      </c>
      <c r="M102">
        <v>180.6</v>
      </c>
      <c r="N102">
        <v>4.3869999999999996</v>
      </c>
      <c r="O102">
        <v>19</v>
      </c>
      <c r="P102">
        <v>20</v>
      </c>
      <c r="Q102" s="1">
        <v>40584</v>
      </c>
      <c r="R102">
        <v>90.495532130000001</v>
      </c>
    </row>
    <row r="103" spans="1:18" x14ac:dyDescent="0.3">
      <c r="A103" t="s">
        <v>138</v>
      </c>
      <c r="B103" s="6" t="s">
        <v>139</v>
      </c>
      <c r="C103" s="6" t="str">
        <f t="shared" si="5"/>
        <v>Low Sales</v>
      </c>
      <c r="D103" s="2">
        <v>42.643000000000001</v>
      </c>
      <c r="E103" s="11">
        <v>8.4499999999999993</v>
      </c>
      <c r="F103" t="s">
        <v>18</v>
      </c>
      <c r="G103">
        <v>13.499000000000001</v>
      </c>
      <c r="H103">
        <v>1.8</v>
      </c>
      <c r="I103">
        <v>126</v>
      </c>
      <c r="J103" t="str" cm="1">
        <f t="array" ref="J103">_xlfn.IFS(I103&lt;120, "Weak", I103&lt;=200, "Moderate", I103&lt;=300, "Powerful", I103&gt;300, "Super")</f>
        <v>Moderate</v>
      </c>
      <c r="K103">
        <v>99.8</v>
      </c>
      <c r="L103">
        <v>67.3</v>
      </c>
      <c r="M103">
        <v>177.5</v>
      </c>
      <c r="N103">
        <v>2.593</v>
      </c>
      <c r="O103">
        <v>13.2</v>
      </c>
      <c r="P103">
        <v>30</v>
      </c>
      <c r="Q103" s="1">
        <v>40786</v>
      </c>
      <c r="R103">
        <v>50.241977910000003</v>
      </c>
    </row>
    <row r="104" spans="1:18" x14ac:dyDescent="0.3">
      <c r="A104" t="s">
        <v>138</v>
      </c>
      <c r="B104" s="6" t="s">
        <v>140</v>
      </c>
      <c r="C104" s="6" t="str">
        <f t="shared" si="5"/>
        <v>High Sales</v>
      </c>
      <c r="D104" s="2">
        <v>88.093999999999994</v>
      </c>
      <c r="E104" s="11">
        <v>11.295</v>
      </c>
      <c r="F104" t="s">
        <v>18</v>
      </c>
      <c r="G104">
        <v>20.39</v>
      </c>
      <c r="H104">
        <v>2.4</v>
      </c>
      <c r="I104">
        <v>155</v>
      </c>
      <c r="J104" t="str" cm="1">
        <f t="array" ref="J104">_xlfn.IFS(I104&lt;120, "Weak", I104&lt;=200, "Moderate", I104&lt;=300, "Powerful", I104&gt;300, "Super")</f>
        <v>Moderate</v>
      </c>
      <c r="K104">
        <v>103.1</v>
      </c>
      <c r="L104">
        <v>69.099999999999994</v>
      </c>
      <c r="M104">
        <v>183.5</v>
      </c>
      <c r="N104">
        <v>3.012</v>
      </c>
      <c r="O104">
        <v>15.9</v>
      </c>
      <c r="P104">
        <v>25</v>
      </c>
      <c r="Q104" s="1">
        <v>40757</v>
      </c>
      <c r="R104">
        <v>63.313727829999998</v>
      </c>
    </row>
    <row r="105" spans="1:18" x14ac:dyDescent="0.3">
      <c r="A105" t="s">
        <v>138</v>
      </c>
      <c r="B105" s="6" t="s">
        <v>141</v>
      </c>
      <c r="C105" s="6" t="str">
        <f t="shared" si="5"/>
        <v>High Sales</v>
      </c>
      <c r="D105" s="2">
        <v>79.852999999999994</v>
      </c>
      <c r="E105" s="11">
        <v>15.125</v>
      </c>
      <c r="F105" t="s">
        <v>18</v>
      </c>
      <c r="G105">
        <v>26.248999999999999</v>
      </c>
      <c r="H105">
        <v>3</v>
      </c>
      <c r="I105">
        <v>222</v>
      </c>
      <c r="J105" t="str" cm="1">
        <f t="array" ref="J105">_xlfn.IFS(I105&lt;120, "Weak", I105&lt;=200, "Moderate", I105&lt;=300, "Powerful", I105&gt;300, "Super")</f>
        <v>Powerful</v>
      </c>
      <c r="K105">
        <v>108.3</v>
      </c>
      <c r="L105">
        <v>70.3</v>
      </c>
      <c r="M105">
        <v>190.5</v>
      </c>
      <c r="N105">
        <v>3.294</v>
      </c>
      <c r="O105">
        <v>18.5</v>
      </c>
      <c r="P105">
        <v>25</v>
      </c>
      <c r="Q105" s="1">
        <v>40669</v>
      </c>
      <c r="R105">
        <v>89.427820310000001</v>
      </c>
    </row>
    <row r="106" spans="1:18" x14ac:dyDescent="0.3">
      <c r="A106" t="s">
        <v>138</v>
      </c>
      <c r="B106" s="6" t="s">
        <v>142</v>
      </c>
      <c r="C106" s="6" t="str">
        <f t="shared" si="5"/>
        <v>Low Sales</v>
      </c>
      <c r="D106" s="2">
        <v>27.308</v>
      </c>
      <c r="E106" s="11">
        <v>15.38</v>
      </c>
      <c r="F106" t="s">
        <v>41</v>
      </c>
      <c r="G106">
        <v>26.399000000000001</v>
      </c>
      <c r="H106">
        <v>3.3</v>
      </c>
      <c r="I106">
        <v>170</v>
      </c>
      <c r="J106" t="str" cm="1">
        <f t="array" ref="J106">_xlfn.IFS(I106&lt;120, "Weak", I106&lt;=200, "Moderate", I106&lt;=300, "Powerful", I106&gt;300, "Super")</f>
        <v>Moderate</v>
      </c>
      <c r="K106">
        <v>112.2</v>
      </c>
      <c r="L106">
        <v>74.900000000000006</v>
      </c>
      <c r="M106">
        <v>194.8</v>
      </c>
      <c r="N106">
        <v>3.9910000000000001</v>
      </c>
      <c r="O106">
        <v>20</v>
      </c>
      <c r="P106">
        <v>21</v>
      </c>
      <c r="Q106" s="1">
        <v>40609</v>
      </c>
      <c r="R106">
        <v>71.171664129999996</v>
      </c>
    </row>
    <row r="107" spans="1:18" x14ac:dyDescent="0.3">
      <c r="A107" t="s">
        <v>138</v>
      </c>
      <c r="B107" s="6" t="s">
        <v>143</v>
      </c>
      <c r="C107" s="6" t="str">
        <f t="shared" si="5"/>
        <v>Low Sales</v>
      </c>
      <c r="D107" s="2">
        <v>42.573999999999998</v>
      </c>
      <c r="E107" s="11">
        <v>17.809999999999999</v>
      </c>
      <c r="F107" t="s">
        <v>41</v>
      </c>
      <c r="G107">
        <v>29.298999999999999</v>
      </c>
      <c r="H107">
        <v>3.3</v>
      </c>
      <c r="I107">
        <v>170</v>
      </c>
      <c r="J107" t="str" cm="1">
        <f t="array" ref="J107">_xlfn.IFS(I107&lt;120, "Weak", I107&lt;=200, "Moderate", I107&lt;=300, "Powerful", I107&gt;300, "Super")</f>
        <v>Moderate</v>
      </c>
      <c r="K107">
        <v>106.3</v>
      </c>
      <c r="L107">
        <v>71.7</v>
      </c>
      <c r="M107">
        <v>182.6</v>
      </c>
      <c r="N107">
        <v>3.9470000000000001</v>
      </c>
      <c r="O107">
        <v>21</v>
      </c>
      <c r="P107">
        <v>19</v>
      </c>
      <c r="Q107" s="1">
        <v>40811</v>
      </c>
      <c r="R107">
        <v>72.290355079999998</v>
      </c>
    </row>
    <row r="108" spans="1:18" x14ac:dyDescent="0.3">
      <c r="A108" t="s">
        <v>138</v>
      </c>
      <c r="B108" s="6" t="s">
        <v>144</v>
      </c>
      <c r="C108" s="6" t="str">
        <f t="shared" si="5"/>
        <v>High Sales</v>
      </c>
      <c r="D108" s="2">
        <v>54.158000000000001</v>
      </c>
      <c r="F108" t="s">
        <v>41</v>
      </c>
      <c r="G108">
        <v>22.798999999999999</v>
      </c>
      <c r="H108">
        <v>3.3</v>
      </c>
      <c r="I108">
        <v>170</v>
      </c>
      <c r="J108" t="str" cm="1">
        <f t="array" ref="J108">_xlfn.IFS(I108&lt;120, "Weak", I108&lt;=200, "Moderate", I108&lt;=300, "Powerful", I108&gt;300, "Super")</f>
        <v>Moderate</v>
      </c>
      <c r="K108">
        <v>104.3</v>
      </c>
      <c r="L108">
        <v>70.400000000000006</v>
      </c>
      <c r="M108">
        <v>178</v>
      </c>
      <c r="N108">
        <v>3.8210000000000002</v>
      </c>
      <c r="O108">
        <v>19.399999999999999</v>
      </c>
      <c r="P108">
        <v>18</v>
      </c>
      <c r="Q108" s="1">
        <v>40567</v>
      </c>
      <c r="R108">
        <v>69.78294434</v>
      </c>
    </row>
    <row r="109" spans="1:18" x14ac:dyDescent="0.3">
      <c r="A109" t="s">
        <v>138</v>
      </c>
      <c r="B109" s="6" t="s">
        <v>145</v>
      </c>
      <c r="C109" s="6" t="str">
        <f t="shared" si="5"/>
        <v>High Sales</v>
      </c>
      <c r="D109" s="2">
        <v>65.004999999999995</v>
      </c>
      <c r="F109" t="s">
        <v>41</v>
      </c>
      <c r="G109">
        <v>17.89</v>
      </c>
      <c r="H109">
        <v>3.3</v>
      </c>
      <c r="I109">
        <v>170</v>
      </c>
      <c r="J109" t="str" cm="1">
        <f t="array" ref="J109">_xlfn.IFS(I109&lt;120, "Weak", I109&lt;=200, "Moderate", I109&lt;=300, "Powerful", I109&gt;300, "Super")</f>
        <v>Moderate</v>
      </c>
      <c r="K109">
        <v>116.1</v>
      </c>
      <c r="L109">
        <v>66.5</v>
      </c>
      <c r="M109">
        <v>196.1</v>
      </c>
      <c r="N109">
        <v>3.2170000000000001</v>
      </c>
      <c r="O109">
        <v>19.399999999999999</v>
      </c>
      <c r="P109">
        <v>18</v>
      </c>
      <c r="Q109" s="1">
        <v>40782</v>
      </c>
      <c r="R109">
        <v>67.889270589999995</v>
      </c>
    </row>
    <row r="110" spans="1:18" x14ac:dyDescent="0.3">
      <c r="A110" t="s">
        <v>146</v>
      </c>
      <c r="B110" s="6" t="s">
        <v>147</v>
      </c>
      <c r="C110" s="6" t="str">
        <f t="shared" si="5"/>
        <v>Low Sales</v>
      </c>
      <c r="D110" s="2">
        <v>1.1120000000000001</v>
      </c>
      <c r="E110" s="11">
        <v>11.24</v>
      </c>
      <c r="F110" t="s">
        <v>18</v>
      </c>
      <c r="G110">
        <v>18.145</v>
      </c>
      <c r="H110">
        <v>3.1</v>
      </c>
      <c r="I110">
        <v>150</v>
      </c>
      <c r="J110" t="str" cm="1">
        <f t="array" ref="J110">_xlfn.IFS(I110&lt;120, "Weak", I110&lt;=200, "Moderate", I110&lt;=300, "Powerful", I110&gt;300, "Super")</f>
        <v>Moderate</v>
      </c>
      <c r="K110">
        <v>107</v>
      </c>
      <c r="L110">
        <v>69.400000000000006</v>
      </c>
      <c r="M110">
        <v>192</v>
      </c>
      <c r="N110">
        <v>3.1019999999999999</v>
      </c>
      <c r="O110">
        <v>15.2</v>
      </c>
      <c r="P110">
        <v>25</v>
      </c>
      <c r="Q110" s="1">
        <v>40694</v>
      </c>
      <c r="R110">
        <v>60.861611549999999</v>
      </c>
    </row>
    <row r="111" spans="1:18" x14ac:dyDescent="0.3">
      <c r="A111" t="s">
        <v>146</v>
      </c>
      <c r="B111" s="6" t="s">
        <v>148</v>
      </c>
      <c r="C111" s="6" t="str">
        <f t="shared" si="5"/>
        <v>Low Sales</v>
      </c>
      <c r="D111" s="2">
        <v>38.554000000000002</v>
      </c>
      <c r="F111" t="s">
        <v>18</v>
      </c>
      <c r="G111">
        <v>24.15</v>
      </c>
      <c r="H111">
        <v>3.5</v>
      </c>
      <c r="I111">
        <v>215</v>
      </c>
      <c r="J111" t="str" cm="1">
        <f t="array" ref="J111">_xlfn.IFS(I111&lt;120, "Weak", I111&lt;=200, "Moderate", I111&lt;=300, "Powerful", I111&gt;300, "Super")</f>
        <v>Powerful</v>
      </c>
      <c r="K111">
        <v>109</v>
      </c>
      <c r="L111">
        <v>73.599999999999994</v>
      </c>
      <c r="M111">
        <v>195.9</v>
      </c>
      <c r="N111">
        <v>3.4550000000000001</v>
      </c>
      <c r="O111">
        <v>18</v>
      </c>
      <c r="Q111" s="1">
        <v>40634</v>
      </c>
      <c r="R111">
        <v>86.272522910000006</v>
      </c>
    </row>
    <row r="112" spans="1:18" x14ac:dyDescent="0.3">
      <c r="A112" t="s">
        <v>146</v>
      </c>
      <c r="B112" s="6" t="s">
        <v>149</v>
      </c>
      <c r="C112" s="6" t="str">
        <f t="shared" si="5"/>
        <v>High Sales</v>
      </c>
      <c r="D112" s="2">
        <v>80.254999999999995</v>
      </c>
      <c r="F112" t="s">
        <v>18</v>
      </c>
      <c r="G112">
        <v>18.27</v>
      </c>
      <c r="H112">
        <v>2.4</v>
      </c>
      <c r="I112">
        <v>150</v>
      </c>
      <c r="J112" t="str" cm="1">
        <f t="array" ref="J112">_xlfn.IFS(I112&lt;120, "Weak", I112&lt;=200, "Moderate", I112&lt;=300, "Powerful", I112&gt;300, "Super")</f>
        <v>Moderate</v>
      </c>
      <c r="K112">
        <v>107</v>
      </c>
      <c r="L112">
        <v>70.099999999999994</v>
      </c>
      <c r="M112">
        <v>186.7</v>
      </c>
      <c r="N112">
        <v>2.9580000000000002</v>
      </c>
      <c r="O112">
        <v>15</v>
      </c>
      <c r="P112">
        <v>27</v>
      </c>
      <c r="Q112" s="1">
        <v>40106</v>
      </c>
      <c r="R112">
        <v>60.727446929999999</v>
      </c>
    </row>
    <row r="113" spans="1:18" x14ac:dyDescent="0.3">
      <c r="A113" t="s">
        <v>146</v>
      </c>
      <c r="B113" s="6" t="s">
        <v>150</v>
      </c>
      <c r="C113" s="6" t="str">
        <f t="shared" si="5"/>
        <v>Low Sales</v>
      </c>
      <c r="D113" s="2">
        <v>14.69</v>
      </c>
      <c r="E113" s="11">
        <v>19.89</v>
      </c>
      <c r="F113" t="s">
        <v>18</v>
      </c>
      <c r="G113">
        <v>36.228999999999999</v>
      </c>
      <c r="H113">
        <v>4</v>
      </c>
      <c r="I113">
        <v>250</v>
      </c>
      <c r="J113" t="str" cm="1">
        <f t="array" ref="J113">_xlfn.IFS(I113&lt;120, "Weak", I113&lt;=200, "Moderate", I113&lt;=300, "Powerful", I113&gt;300, "Super")</f>
        <v>Powerful</v>
      </c>
      <c r="K113">
        <v>113.8</v>
      </c>
      <c r="L113">
        <v>74.400000000000006</v>
      </c>
      <c r="M113">
        <v>205.4</v>
      </c>
      <c r="N113">
        <v>3.9670000000000001</v>
      </c>
      <c r="O113">
        <v>18.5</v>
      </c>
      <c r="P113">
        <v>22</v>
      </c>
      <c r="Q113" s="1">
        <v>40592</v>
      </c>
      <c r="R113">
        <v>103.4416926</v>
      </c>
    </row>
    <row r="114" spans="1:18" x14ac:dyDescent="0.3">
      <c r="A114" t="s">
        <v>146</v>
      </c>
      <c r="B114" s="6" t="s">
        <v>151</v>
      </c>
      <c r="C114" s="6" t="str">
        <f t="shared" si="5"/>
        <v>Low Sales</v>
      </c>
      <c r="D114" s="2">
        <v>20.016999999999999</v>
      </c>
      <c r="E114" s="11">
        <v>19.925000000000001</v>
      </c>
      <c r="F114" t="s">
        <v>41</v>
      </c>
      <c r="G114">
        <v>31.597999999999999</v>
      </c>
      <c r="H114">
        <v>4.3</v>
      </c>
      <c r="I114">
        <v>190</v>
      </c>
      <c r="J114" t="str" cm="1">
        <f t="array" ref="J114">_xlfn.IFS(I114&lt;120, "Weak", I114&lt;=200, "Moderate", I114&lt;=300, "Powerful", I114&gt;300, "Super")</f>
        <v>Moderate</v>
      </c>
      <c r="K114">
        <v>107</v>
      </c>
      <c r="L114">
        <v>67.8</v>
      </c>
      <c r="M114">
        <v>181.2</v>
      </c>
      <c r="N114">
        <v>4.0679999999999996</v>
      </c>
      <c r="O114">
        <v>17.5</v>
      </c>
      <c r="P114">
        <v>19</v>
      </c>
      <c r="Q114" s="1">
        <v>40807</v>
      </c>
      <c r="R114">
        <v>80.511672590000003</v>
      </c>
    </row>
    <row r="115" spans="1:18" x14ac:dyDescent="0.3">
      <c r="A115" t="s">
        <v>146</v>
      </c>
      <c r="B115" s="6" t="s">
        <v>152</v>
      </c>
      <c r="C115" s="6" t="str">
        <f t="shared" si="5"/>
        <v>Low Sales</v>
      </c>
      <c r="D115" s="2">
        <v>24.361000000000001</v>
      </c>
      <c r="E115" s="11">
        <v>15.24</v>
      </c>
      <c r="F115" t="s">
        <v>41</v>
      </c>
      <c r="G115">
        <v>25.344999999999999</v>
      </c>
      <c r="H115">
        <v>3.4</v>
      </c>
      <c r="I115">
        <v>185</v>
      </c>
      <c r="J115" t="str" cm="1">
        <f t="array" ref="J115">_xlfn.IFS(I115&lt;120, "Weak", I115&lt;=200, "Moderate", I115&lt;=300, "Powerful", I115&gt;300, "Super")</f>
        <v>Moderate</v>
      </c>
      <c r="K115">
        <v>120</v>
      </c>
      <c r="L115">
        <v>72.2</v>
      </c>
      <c r="M115">
        <v>201.4</v>
      </c>
      <c r="N115">
        <v>3.948</v>
      </c>
      <c r="O115">
        <v>25</v>
      </c>
      <c r="P115">
        <v>22</v>
      </c>
      <c r="Q115" s="1">
        <v>40719</v>
      </c>
      <c r="R115">
        <v>76.096570420000006</v>
      </c>
    </row>
    <row r="116" spans="1:18" x14ac:dyDescent="0.3">
      <c r="A116" t="s">
        <v>153</v>
      </c>
      <c r="B116" s="6" t="s">
        <v>61</v>
      </c>
      <c r="C116" s="6" t="str">
        <f t="shared" si="5"/>
        <v>Low Sales</v>
      </c>
      <c r="D116" s="2">
        <v>32.734000000000002</v>
      </c>
      <c r="E116" s="11">
        <v>7.75</v>
      </c>
      <c r="F116" t="s">
        <v>18</v>
      </c>
      <c r="G116">
        <v>12.64</v>
      </c>
      <c r="H116">
        <v>2</v>
      </c>
      <c r="I116">
        <v>132</v>
      </c>
      <c r="J116" t="str" cm="1">
        <f t="array" ref="J116">_xlfn.IFS(I116&lt;120, "Weak", I116&lt;=200, "Moderate", I116&lt;=300, "Powerful", I116&gt;300, "Super")</f>
        <v>Moderate</v>
      </c>
      <c r="K116">
        <v>105</v>
      </c>
      <c r="L116">
        <v>74.400000000000006</v>
      </c>
      <c r="M116">
        <v>174.4</v>
      </c>
      <c r="N116">
        <v>2.5590000000000002</v>
      </c>
      <c r="O116">
        <v>12.5</v>
      </c>
      <c r="P116">
        <v>29</v>
      </c>
      <c r="Q116" s="1">
        <v>40659</v>
      </c>
      <c r="R116">
        <v>52.084898750000001</v>
      </c>
    </row>
    <row r="117" spans="1:18" x14ac:dyDescent="0.3">
      <c r="A117" t="s">
        <v>153</v>
      </c>
      <c r="B117" s="6" t="s">
        <v>154</v>
      </c>
      <c r="C117" s="6" t="str">
        <f t="shared" si="5"/>
        <v>Low Sales</v>
      </c>
      <c r="D117" s="2">
        <v>5.24</v>
      </c>
      <c r="E117" s="11">
        <v>9.8000000000000007</v>
      </c>
      <c r="F117" t="s">
        <v>18</v>
      </c>
      <c r="G117">
        <v>16.079999999999998</v>
      </c>
      <c r="H117">
        <v>2</v>
      </c>
      <c r="I117">
        <v>132</v>
      </c>
      <c r="J117" t="str" cm="1">
        <f t="array" ref="J117">_xlfn.IFS(I117&lt;120, "Weak", I117&lt;=200, "Moderate", I117&lt;=300, "Powerful", I117&gt;300, "Super")</f>
        <v>Moderate</v>
      </c>
      <c r="K117">
        <v>108</v>
      </c>
      <c r="L117">
        <v>71</v>
      </c>
      <c r="M117">
        <v>186.3</v>
      </c>
      <c r="N117">
        <v>2.9420000000000002</v>
      </c>
      <c r="O117">
        <v>16</v>
      </c>
      <c r="P117">
        <v>27</v>
      </c>
      <c r="Q117" s="1">
        <v>40861</v>
      </c>
      <c r="R117">
        <v>53.411897670000002</v>
      </c>
    </row>
    <row r="118" spans="1:18" x14ac:dyDescent="0.3">
      <c r="A118" t="s">
        <v>153</v>
      </c>
      <c r="B118" s="6" t="s">
        <v>155</v>
      </c>
      <c r="C118" s="6" t="str">
        <f t="shared" si="5"/>
        <v>Low Sales</v>
      </c>
      <c r="D118" s="2">
        <v>24.155000000000001</v>
      </c>
      <c r="E118" s="11">
        <v>12.025</v>
      </c>
      <c r="F118" t="s">
        <v>41</v>
      </c>
      <c r="G118">
        <v>18.850000000000001</v>
      </c>
      <c r="H118">
        <v>2.4</v>
      </c>
      <c r="I118">
        <v>150</v>
      </c>
      <c r="J118" t="str" cm="1">
        <f t="array" ref="J118">_xlfn.IFS(I118&lt;120, "Weak", I118&lt;=200, "Moderate", I118&lt;=300, "Powerful", I118&gt;300, "Super")</f>
        <v>Moderate</v>
      </c>
      <c r="K118">
        <v>113.3</v>
      </c>
      <c r="L118">
        <v>76.8</v>
      </c>
      <c r="M118">
        <v>186.3</v>
      </c>
      <c r="N118">
        <v>3.528</v>
      </c>
      <c r="O118">
        <v>20</v>
      </c>
      <c r="P118">
        <v>24</v>
      </c>
      <c r="Q118" s="1">
        <v>40657</v>
      </c>
      <c r="R118">
        <v>60.951185119999998</v>
      </c>
    </row>
    <row r="119" spans="1:18" x14ac:dyDescent="0.3">
      <c r="A119" t="s">
        <v>153</v>
      </c>
      <c r="B119" s="6" t="s">
        <v>156</v>
      </c>
      <c r="C119" s="6" t="str">
        <f t="shared" si="5"/>
        <v>Low Sales</v>
      </c>
      <c r="D119" s="2">
        <v>1.8720000000000001</v>
      </c>
      <c r="F119" t="s">
        <v>18</v>
      </c>
      <c r="G119">
        <v>43</v>
      </c>
      <c r="H119">
        <v>3.5</v>
      </c>
      <c r="I119">
        <v>253</v>
      </c>
      <c r="J119" t="str" cm="1">
        <f t="array" ref="J119">_xlfn.IFS(I119&lt;120, "Weak", I119&lt;=200, "Moderate", I119&lt;=300, "Powerful", I119&gt;300, "Super")</f>
        <v>Powerful</v>
      </c>
      <c r="K119">
        <v>113.3</v>
      </c>
      <c r="L119">
        <v>76.3</v>
      </c>
      <c r="M119">
        <v>165.4</v>
      </c>
      <c r="N119">
        <v>2.85</v>
      </c>
      <c r="O119">
        <v>12</v>
      </c>
      <c r="P119">
        <v>21</v>
      </c>
      <c r="Q119" s="1">
        <v>41087</v>
      </c>
      <c r="R119">
        <v>106.98445630000001</v>
      </c>
    </row>
    <row r="120" spans="1:18" x14ac:dyDescent="0.3">
      <c r="A120" t="s">
        <v>157</v>
      </c>
      <c r="B120" s="6" t="s">
        <v>158</v>
      </c>
      <c r="C120" s="6" t="str">
        <f t="shared" si="5"/>
        <v>High Sales</v>
      </c>
      <c r="D120" s="2">
        <v>51.645000000000003</v>
      </c>
      <c r="E120" s="11">
        <v>13.79</v>
      </c>
      <c r="F120" t="s">
        <v>18</v>
      </c>
      <c r="G120">
        <v>21.61</v>
      </c>
      <c r="H120">
        <v>2.4</v>
      </c>
      <c r="I120">
        <v>150</v>
      </c>
      <c r="J120" t="str" cm="1">
        <f t="array" ref="J120">_xlfn.IFS(I120&lt;120, "Weak", I120&lt;=200, "Moderate", I120&lt;=300, "Powerful", I120&gt;300, "Super")</f>
        <v>Moderate</v>
      </c>
      <c r="K120">
        <v>104.1</v>
      </c>
      <c r="L120">
        <v>68.400000000000006</v>
      </c>
      <c r="M120">
        <v>181.9</v>
      </c>
      <c r="N120">
        <v>2.9060000000000001</v>
      </c>
      <c r="O120">
        <v>15</v>
      </c>
      <c r="P120">
        <v>27</v>
      </c>
      <c r="Q120" s="1">
        <v>40933</v>
      </c>
      <c r="R120">
        <v>62.015870300000003</v>
      </c>
    </row>
    <row r="121" spans="1:18" x14ac:dyDescent="0.3">
      <c r="A121" t="s">
        <v>157</v>
      </c>
      <c r="B121" s="6" t="s">
        <v>159</v>
      </c>
      <c r="C121" s="6" t="str">
        <f t="shared" si="5"/>
        <v>High Sales</v>
      </c>
      <c r="D121" s="2">
        <v>131.09700000000001</v>
      </c>
      <c r="E121" s="11">
        <v>10.29</v>
      </c>
      <c r="F121" t="s">
        <v>18</v>
      </c>
      <c r="G121">
        <v>19.72</v>
      </c>
      <c r="H121">
        <v>3.4</v>
      </c>
      <c r="I121">
        <v>175</v>
      </c>
      <c r="J121" t="str" cm="1">
        <f t="array" ref="J121">_xlfn.IFS(I121&lt;120, "Weak", I121&lt;=200, "Moderate", I121&lt;=300, "Powerful", I121&gt;300, "Super")</f>
        <v>Moderate</v>
      </c>
      <c r="K121">
        <v>107</v>
      </c>
      <c r="L121">
        <v>70.400000000000006</v>
      </c>
      <c r="M121">
        <v>186.3</v>
      </c>
      <c r="N121">
        <v>3.0910000000000002</v>
      </c>
      <c r="O121">
        <v>15.2</v>
      </c>
      <c r="P121">
        <v>25</v>
      </c>
      <c r="Q121" s="1">
        <v>41239</v>
      </c>
      <c r="R121">
        <v>70.389737260000004</v>
      </c>
    </row>
    <row r="122" spans="1:18" x14ac:dyDescent="0.3">
      <c r="A122" t="s">
        <v>157</v>
      </c>
      <c r="B122" s="6" t="s">
        <v>160</v>
      </c>
      <c r="C122" s="6" t="str">
        <f t="shared" si="5"/>
        <v>Low Sales</v>
      </c>
      <c r="D122" s="2">
        <v>19.911000000000001</v>
      </c>
      <c r="E122" s="11">
        <v>17.805</v>
      </c>
      <c r="F122" t="s">
        <v>18</v>
      </c>
      <c r="G122">
        <v>25.31</v>
      </c>
      <c r="H122">
        <v>3.8</v>
      </c>
      <c r="I122">
        <v>200</v>
      </c>
      <c r="J122" t="str" cm="1">
        <f t="array" ref="J122">_xlfn.IFS(I122&lt;120, "Weak", I122&lt;=200, "Moderate", I122&lt;=300, "Powerful", I122&gt;300, "Super")</f>
        <v>Moderate</v>
      </c>
      <c r="K122">
        <v>101.1</v>
      </c>
      <c r="L122">
        <v>74.5</v>
      </c>
      <c r="M122">
        <v>193.4</v>
      </c>
      <c r="N122">
        <v>3.492</v>
      </c>
      <c r="O122">
        <v>16.8</v>
      </c>
      <c r="P122">
        <v>25</v>
      </c>
      <c r="Q122" s="1">
        <v>41076</v>
      </c>
      <c r="R122">
        <v>81.492726160000004</v>
      </c>
    </row>
    <row r="123" spans="1:18" x14ac:dyDescent="0.3">
      <c r="A123" t="s">
        <v>157</v>
      </c>
      <c r="B123" s="6" t="s">
        <v>161</v>
      </c>
      <c r="C123" s="6" t="str">
        <f t="shared" si="5"/>
        <v>High Sales</v>
      </c>
      <c r="D123" s="2">
        <v>92.364000000000004</v>
      </c>
      <c r="E123" s="11">
        <v>14.01</v>
      </c>
      <c r="F123" t="s">
        <v>18</v>
      </c>
      <c r="G123">
        <v>21.664999999999999</v>
      </c>
      <c r="H123">
        <v>3.8</v>
      </c>
      <c r="I123">
        <v>195</v>
      </c>
      <c r="J123" t="str" cm="1">
        <f t="array" ref="J123">_xlfn.IFS(I123&lt;120, "Weak", I123&lt;=200, "Moderate", I123&lt;=300, "Powerful", I123&gt;300, "Super")</f>
        <v>Moderate</v>
      </c>
      <c r="K123">
        <v>110.5</v>
      </c>
      <c r="L123">
        <v>72.7</v>
      </c>
      <c r="M123">
        <v>196.5</v>
      </c>
      <c r="N123">
        <v>3.3959999999999999</v>
      </c>
      <c r="O123">
        <v>18</v>
      </c>
      <c r="P123">
        <v>25</v>
      </c>
      <c r="Q123" s="1">
        <v>41197</v>
      </c>
      <c r="R123">
        <v>78.318168130000004</v>
      </c>
    </row>
    <row r="124" spans="1:18" x14ac:dyDescent="0.3">
      <c r="A124" t="s">
        <v>157</v>
      </c>
      <c r="B124" s="6" t="s">
        <v>162</v>
      </c>
      <c r="C124" s="6" t="str">
        <f t="shared" si="5"/>
        <v>Low Sales</v>
      </c>
      <c r="D124" s="2">
        <v>35.945</v>
      </c>
      <c r="E124" s="11">
        <v>13.225</v>
      </c>
      <c r="F124" t="s">
        <v>18</v>
      </c>
      <c r="G124">
        <v>23.754999999999999</v>
      </c>
      <c r="H124">
        <v>3.8</v>
      </c>
      <c r="I124">
        <v>205</v>
      </c>
      <c r="J124" t="str" cm="1">
        <f t="array" ref="J124">_xlfn.IFS(I124&lt;120, "Weak", I124&lt;=200, "Moderate", I124&lt;=300, "Powerful", I124&gt;300, "Super")</f>
        <v>Powerful</v>
      </c>
      <c r="K124">
        <v>112.2</v>
      </c>
      <c r="L124">
        <v>72.599999999999994</v>
      </c>
      <c r="M124">
        <v>202.5</v>
      </c>
      <c r="N124">
        <v>3.59</v>
      </c>
      <c r="O124">
        <v>17.5</v>
      </c>
      <c r="P124">
        <v>24</v>
      </c>
      <c r="Q124" s="1">
        <v>40681</v>
      </c>
      <c r="R124">
        <v>82.661355599999993</v>
      </c>
    </row>
    <row r="125" spans="1:18" x14ac:dyDescent="0.3">
      <c r="A125" t="s">
        <v>157</v>
      </c>
      <c r="B125" s="6" t="s">
        <v>163</v>
      </c>
      <c r="C125" s="6" t="str">
        <f t="shared" si="5"/>
        <v>Low Sales</v>
      </c>
      <c r="D125" s="2">
        <v>39.572000000000003</v>
      </c>
      <c r="F125" t="s">
        <v>41</v>
      </c>
      <c r="G125">
        <v>25.635000000000002</v>
      </c>
      <c r="H125">
        <v>3.4</v>
      </c>
      <c r="I125">
        <v>185</v>
      </c>
      <c r="J125" t="str" cm="1">
        <f t="array" ref="J125">_xlfn.IFS(I125&lt;120, "Weak", I125&lt;=200, "Moderate", I125&lt;=300, "Powerful", I125&gt;300, "Super")</f>
        <v>Moderate</v>
      </c>
      <c r="K125">
        <v>120</v>
      </c>
      <c r="L125">
        <v>72.7</v>
      </c>
      <c r="M125">
        <v>201.3</v>
      </c>
      <c r="N125">
        <v>3.9420000000000002</v>
      </c>
      <c r="O125">
        <v>25</v>
      </c>
      <c r="P125">
        <v>23</v>
      </c>
      <c r="Q125" s="1">
        <v>41112</v>
      </c>
      <c r="R125">
        <v>76.208439519999999</v>
      </c>
    </row>
    <row r="126" spans="1:18" x14ac:dyDescent="0.3">
      <c r="A126" t="s">
        <v>164</v>
      </c>
      <c r="B126" s="6" t="s">
        <v>165</v>
      </c>
      <c r="C126" s="6" t="str">
        <f t="shared" si="5"/>
        <v>Low Sales</v>
      </c>
      <c r="D126" s="2">
        <v>8.9819999999999993</v>
      </c>
      <c r="E126" s="11">
        <v>41.25</v>
      </c>
      <c r="F126" t="s">
        <v>18</v>
      </c>
      <c r="G126">
        <v>41.43</v>
      </c>
      <c r="H126">
        <v>2.7</v>
      </c>
      <c r="I126">
        <v>217</v>
      </c>
      <c r="J126" t="str" cm="1">
        <f t="array" ref="J126">_xlfn.IFS(I126&lt;120, "Weak", I126&lt;=200, "Moderate", I126&lt;=300, "Powerful", I126&gt;300, "Super")</f>
        <v>Powerful</v>
      </c>
      <c r="K126">
        <v>95.2</v>
      </c>
      <c r="L126">
        <v>70.099999999999994</v>
      </c>
      <c r="M126">
        <v>171</v>
      </c>
      <c r="N126">
        <v>2.778</v>
      </c>
      <c r="O126">
        <v>17</v>
      </c>
      <c r="P126">
        <v>22</v>
      </c>
      <c r="Q126" s="1">
        <v>40958</v>
      </c>
      <c r="R126">
        <v>93.437330700000004</v>
      </c>
    </row>
    <row r="127" spans="1:18" x14ac:dyDescent="0.3">
      <c r="A127" t="s">
        <v>164</v>
      </c>
      <c r="B127" s="6" t="s">
        <v>166</v>
      </c>
      <c r="C127" s="6" t="str">
        <f t="shared" si="5"/>
        <v>Low Sales</v>
      </c>
      <c r="D127" s="2">
        <v>1.28</v>
      </c>
      <c r="E127" s="11">
        <v>60.625</v>
      </c>
      <c r="F127" t="s">
        <v>18</v>
      </c>
      <c r="G127">
        <v>71.02</v>
      </c>
      <c r="H127">
        <v>3.4</v>
      </c>
      <c r="I127">
        <v>300</v>
      </c>
      <c r="J127" t="str" cm="1">
        <f t="array" ref="J127">_xlfn.IFS(I127&lt;120, "Weak", I127&lt;=200, "Moderate", I127&lt;=300, "Powerful", I127&gt;300, "Super")</f>
        <v>Powerful</v>
      </c>
      <c r="K127">
        <v>92.6</v>
      </c>
      <c r="L127">
        <v>69.5</v>
      </c>
      <c r="M127">
        <v>174.5</v>
      </c>
      <c r="N127">
        <v>3.032</v>
      </c>
      <c r="O127">
        <v>17</v>
      </c>
      <c r="P127">
        <v>21</v>
      </c>
      <c r="Q127" s="1">
        <v>41264</v>
      </c>
      <c r="R127">
        <v>134.3909754</v>
      </c>
    </row>
    <row r="128" spans="1:18" x14ac:dyDescent="0.3">
      <c r="A128" t="s">
        <v>164</v>
      </c>
      <c r="B128" s="6" t="s">
        <v>167</v>
      </c>
      <c r="C128" s="6" t="str">
        <f t="shared" si="5"/>
        <v>Low Sales</v>
      </c>
      <c r="D128" s="2">
        <v>1.8660000000000001</v>
      </c>
      <c r="E128" s="11">
        <v>67.55</v>
      </c>
      <c r="F128" t="s">
        <v>18</v>
      </c>
      <c r="G128">
        <v>74.97</v>
      </c>
      <c r="H128">
        <v>3.4</v>
      </c>
      <c r="I128">
        <v>300</v>
      </c>
      <c r="J128" t="str" cm="1">
        <f t="array" ref="J128">_xlfn.IFS(I128&lt;120, "Weak", I128&lt;=200, "Moderate", I128&lt;=300, "Powerful", I128&gt;300, "Super")</f>
        <v>Powerful</v>
      </c>
      <c r="K128">
        <v>92.6</v>
      </c>
      <c r="L128">
        <v>69.5</v>
      </c>
      <c r="M128">
        <v>174.5</v>
      </c>
      <c r="N128">
        <v>3.0750000000000002</v>
      </c>
      <c r="O128">
        <v>17</v>
      </c>
      <c r="P128">
        <v>23</v>
      </c>
      <c r="Q128" s="1">
        <v>40735</v>
      </c>
      <c r="R128">
        <v>135.91470960000001</v>
      </c>
    </row>
    <row r="129" spans="1:18" x14ac:dyDescent="0.3">
      <c r="A129" t="s">
        <v>168</v>
      </c>
      <c r="B129" s="6" t="s">
        <v>183</v>
      </c>
      <c r="C129" s="6" t="str">
        <f t="shared" si="5"/>
        <v>Low Sales</v>
      </c>
      <c r="D129" s="2">
        <v>9.1910000000000007</v>
      </c>
      <c r="F129" t="s">
        <v>18</v>
      </c>
      <c r="G129">
        <v>33.119999999999997</v>
      </c>
      <c r="H129">
        <v>2.2999999999999998</v>
      </c>
      <c r="I129">
        <v>170</v>
      </c>
      <c r="J129" t="str" cm="1">
        <f t="array" ref="J129">_xlfn.IFS(I129&lt;120, "Weak", I129&lt;=200, "Moderate", I129&lt;=300, "Powerful", I129&gt;300, "Super")</f>
        <v>Moderate</v>
      </c>
      <c r="K129">
        <v>106.4</v>
      </c>
      <c r="L129">
        <v>70.599999999999994</v>
      </c>
      <c r="M129">
        <v>189.2</v>
      </c>
      <c r="N129">
        <v>3.28</v>
      </c>
      <c r="O129">
        <v>18.5</v>
      </c>
      <c r="P129">
        <v>23</v>
      </c>
      <c r="Q129" s="1">
        <v>41222</v>
      </c>
      <c r="R129">
        <v>73.503778190000006</v>
      </c>
    </row>
    <row r="130" spans="1:18" x14ac:dyDescent="0.3">
      <c r="A130" t="s">
        <v>168</v>
      </c>
      <c r="B130" s="6" t="s">
        <v>183</v>
      </c>
      <c r="C130" s="6" t="str">
        <f t="shared" ref="C130:C161" si="6">IF(D130&gt;50,"High Sales","Low Sales")</f>
        <v>Low Sales</v>
      </c>
      <c r="D130" s="2">
        <v>12.115</v>
      </c>
      <c r="F130" t="s">
        <v>18</v>
      </c>
      <c r="G130">
        <v>26.1</v>
      </c>
      <c r="H130">
        <v>2</v>
      </c>
      <c r="I130">
        <v>185</v>
      </c>
      <c r="J130" t="str" cm="1">
        <f t="array" ref="J130">_xlfn.IFS(I130&lt;120, "Weak", I130&lt;=200, "Moderate", I130&lt;=300, "Powerful", I130&gt;300, "Super")</f>
        <v>Moderate</v>
      </c>
      <c r="K130">
        <v>102.6</v>
      </c>
      <c r="L130">
        <v>67.400000000000006</v>
      </c>
      <c r="M130">
        <v>182.2</v>
      </c>
      <c r="N130">
        <v>2.99</v>
      </c>
      <c r="O130">
        <v>16.899999999999999</v>
      </c>
      <c r="P130">
        <v>23</v>
      </c>
      <c r="Q130" s="1">
        <v>40706</v>
      </c>
      <c r="R130">
        <v>76.02304771</v>
      </c>
    </row>
    <row r="131" spans="1:18" x14ac:dyDescent="0.3">
      <c r="A131" t="s">
        <v>169</v>
      </c>
      <c r="B131" s="6" t="s">
        <v>170</v>
      </c>
      <c r="C131" s="6" t="str">
        <f t="shared" si="6"/>
        <v>High Sales</v>
      </c>
      <c r="D131" s="2">
        <v>80.62</v>
      </c>
      <c r="E131" s="11">
        <v>9.1999999999999993</v>
      </c>
      <c r="F131" t="s">
        <v>18</v>
      </c>
      <c r="G131">
        <v>10.685</v>
      </c>
      <c r="H131">
        <v>1.9</v>
      </c>
      <c r="I131">
        <v>100</v>
      </c>
      <c r="J131" t="str" cm="1">
        <f t="array" ref="J131">_xlfn.IFS(I131&lt;120, "Weak", I131&lt;=200, "Moderate", I131&lt;=300, "Powerful", I131&gt;300, "Super")</f>
        <v>Weak</v>
      </c>
      <c r="K131">
        <v>102.4</v>
      </c>
      <c r="L131">
        <v>66.400000000000006</v>
      </c>
      <c r="M131">
        <v>176.9</v>
      </c>
      <c r="N131">
        <v>2.3319999999999999</v>
      </c>
      <c r="O131">
        <v>12.1</v>
      </c>
      <c r="P131">
        <v>33</v>
      </c>
      <c r="Q131" s="1">
        <v>41137</v>
      </c>
      <c r="R131">
        <v>39.986424749999998</v>
      </c>
    </row>
    <row r="132" spans="1:18" x14ac:dyDescent="0.3">
      <c r="A132" t="s">
        <v>169</v>
      </c>
      <c r="B132" s="6" t="s">
        <v>171</v>
      </c>
      <c r="C132" s="6" t="str">
        <f t="shared" si="6"/>
        <v>Low Sales</v>
      </c>
      <c r="D132" s="2">
        <v>24.545999999999999</v>
      </c>
      <c r="E132" s="11">
        <v>10.59</v>
      </c>
      <c r="F132" t="s">
        <v>18</v>
      </c>
      <c r="G132">
        <v>12.535</v>
      </c>
      <c r="H132">
        <v>1.9</v>
      </c>
      <c r="I132">
        <v>100</v>
      </c>
      <c r="J132" t="str" cm="1">
        <f t="array" ref="J132">_xlfn.IFS(I132&lt;120, "Weak", I132&lt;=200, "Moderate", I132&lt;=300, "Powerful", I132&gt;300, "Super")</f>
        <v>Weak</v>
      </c>
      <c r="K132">
        <v>102.4</v>
      </c>
      <c r="L132">
        <v>66.400000000000006</v>
      </c>
      <c r="M132">
        <v>180</v>
      </c>
      <c r="N132">
        <v>2.367</v>
      </c>
      <c r="O132">
        <v>12.1</v>
      </c>
      <c r="P132">
        <v>33</v>
      </c>
      <c r="Q132" s="1">
        <v>40618</v>
      </c>
      <c r="R132">
        <v>40.700072419999998</v>
      </c>
    </row>
    <row r="133" spans="1:18" x14ac:dyDescent="0.3">
      <c r="A133" t="s">
        <v>169</v>
      </c>
      <c r="B133" s="6" t="s">
        <v>172</v>
      </c>
      <c r="C133" s="6" t="str">
        <f t="shared" si="6"/>
        <v>Low Sales</v>
      </c>
      <c r="D133" s="2">
        <v>5.2229999999999999</v>
      </c>
      <c r="E133" s="11">
        <v>10.79</v>
      </c>
      <c r="F133" t="s">
        <v>18</v>
      </c>
      <c r="G133">
        <v>14.29</v>
      </c>
      <c r="H133">
        <v>1.9</v>
      </c>
      <c r="I133">
        <v>124</v>
      </c>
      <c r="J133" t="str" cm="1">
        <f t="array" ref="J133">_xlfn.IFS(I133&lt;120, "Weak", I133&lt;=200, "Moderate", I133&lt;=300, "Powerful", I133&gt;300, "Super")</f>
        <v>Moderate</v>
      </c>
      <c r="K133">
        <v>102.4</v>
      </c>
      <c r="L133">
        <v>66.400000000000006</v>
      </c>
      <c r="M133">
        <v>176.9</v>
      </c>
      <c r="N133">
        <v>2.452</v>
      </c>
      <c r="O133">
        <v>12.1</v>
      </c>
      <c r="P133">
        <v>31</v>
      </c>
      <c r="Q133" s="1">
        <v>40558</v>
      </c>
      <c r="R133">
        <v>49.865773670000003</v>
      </c>
    </row>
    <row r="134" spans="1:18" x14ac:dyDescent="0.3">
      <c r="A134" t="s">
        <v>169</v>
      </c>
      <c r="B134" s="6" t="s">
        <v>173</v>
      </c>
      <c r="C134" s="6" t="str">
        <f t="shared" si="6"/>
        <v>Low Sales</v>
      </c>
      <c r="D134" s="2">
        <v>8.4719999999999995</v>
      </c>
      <c r="F134" t="s">
        <v>18</v>
      </c>
      <c r="G134">
        <v>18.835000000000001</v>
      </c>
      <c r="H134">
        <v>2.2000000000000002</v>
      </c>
      <c r="I134">
        <v>137</v>
      </c>
      <c r="J134" t="str" cm="1">
        <f t="array" ref="J134">_xlfn.IFS(I134&lt;120, "Weak", I134&lt;=200, "Moderate", I134&lt;=300, "Powerful", I134&gt;300, "Super")</f>
        <v>Moderate</v>
      </c>
      <c r="K134">
        <v>106.5</v>
      </c>
      <c r="L134">
        <v>69</v>
      </c>
      <c r="M134">
        <v>190.4</v>
      </c>
      <c r="N134">
        <v>3.0750000000000002</v>
      </c>
      <c r="O134">
        <v>13.1</v>
      </c>
      <c r="P134">
        <v>27</v>
      </c>
      <c r="Q134" s="1">
        <v>40760</v>
      </c>
      <c r="R134">
        <v>56.295243040000003</v>
      </c>
    </row>
    <row r="135" spans="1:18" x14ac:dyDescent="0.3">
      <c r="A135" t="s">
        <v>169</v>
      </c>
      <c r="B135" s="6" t="s">
        <v>174</v>
      </c>
      <c r="C135" s="6" t="str">
        <f t="shared" si="6"/>
        <v>Low Sales</v>
      </c>
      <c r="D135" s="2">
        <v>49.988999999999997</v>
      </c>
      <c r="F135" t="s">
        <v>18</v>
      </c>
      <c r="G135">
        <v>15.01</v>
      </c>
      <c r="H135">
        <v>2.2000000000000002</v>
      </c>
      <c r="I135">
        <v>137</v>
      </c>
      <c r="J135" t="str" cm="1">
        <f t="array" ref="J135">_xlfn.IFS(I135&lt;120, "Weak", I135&lt;=200, "Moderate", I135&lt;=300, "Powerful", I135&gt;300, "Super")</f>
        <v>Moderate</v>
      </c>
      <c r="K135">
        <v>106.5</v>
      </c>
      <c r="L135">
        <v>69</v>
      </c>
      <c r="M135">
        <v>190.4</v>
      </c>
      <c r="N135">
        <v>2.91</v>
      </c>
      <c r="O135">
        <v>13.1</v>
      </c>
      <c r="P135">
        <v>28</v>
      </c>
      <c r="Q135" s="1">
        <v>41247</v>
      </c>
      <c r="R135">
        <v>54.819728249999997</v>
      </c>
    </row>
    <row r="136" spans="1:18" x14ac:dyDescent="0.3">
      <c r="A136" t="s">
        <v>175</v>
      </c>
      <c r="B136" s="6" t="s">
        <v>176</v>
      </c>
      <c r="C136" s="6" t="str">
        <f t="shared" si="6"/>
        <v>Low Sales</v>
      </c>
      <c r="D136" s="2">
        <v>47.106999999999999</v>
      </c>
      <c r="F136" t="s">
        <v>18</v>
      </c>
      <c r="G136">
        <v>22.695</v>
      </c>
      <c r="H136">
        <v>2.5</v>
      </c>
      <c r="I136">
        <v>165</v>
      </c>
      <c r="J136" t="str" cm="1">
        <f t="array" ref="J136">_xlfn.IFS(I136&lt;120, "Weak", I136&lt;=200, "Moderate", I136&lt;=300, "Powerful", I136&gt;300, "Super")</f>
        <v>Moderate</v>
      </c>
      <c r="K136">
        <v>103.5</v>
      </c>
      <c r="L136">
        <v>67.5</v>
      </c>
      <c r="M136">
        <v>185.8</v>
      </c>
      <c r="N136">
        <v>3.415</v>
      </c>
      <c r="O136">
        <v>16.899999999999999</v>
      </c>
      <c r="P136">
        <v>25</v>
      </c>
      <c r="Q136" s="1">
        <v>40731</v>
      </c>
      <c r="R136">
        <v>67.765907600000006</v>
      </c>
    </row>
    <row r="137" spans="1:18" x14ac:dyDescent="0.3">
      <c r="A137" t="s">
        <v>175</v>
      </c>
      <c r="B137" s="6" t="s">
        <v>177</v>
      </c>
      <c r="C137" s="6" t="str">
        <f t="shared" si="6"/>
        <v>Low Sales</v>
      </c>
      <c r="D137" s="2">
        <v>33.027999999999999</v>
      </c>
      <c r="F137" t="s">
        <v>41</v>
      </c>
      <c r="G137">
        <v>20.094999999999999</v>
      </c>
      <c r="H137">
        <v>2.5</v>
      </c>
      <c r="I137">
        <v>165</v>
      </c>
      <c r="J137" t="str" cm="1">
        <f t="array" ref="J137">_xlfn.IFS(I137&lt;120, "Weak", I137&lt;=200, "Moderate", I137&lt;=300, "Powerful", I137&gt;300, "Super")</f>
        <v>Moderate</v>
      </c>
      <c r="K137">
        <v>99.4</v>
      </c>
      <c r="L137">
        <v>68.3</v>
      </c>
      <c r="M137">
        <v>175.2</v>
      </c>
      <c r="N137">
        <v>3.125</v>
      </c>
      <c r="O137">
        <v>15.9</v>
      </c>
      <c r="P137">
        <v>24</v>
      </c>
      <c r="Q137" s="1">
        <v>41162</v>
      </c>
      <c r="R137">
        <v>66.762943309999997</v>
      </c>
    </row>
    <row r="138" spans="1:18" x14ac:dyDescent="0.3">
      <c r="A138" t="s">
        <v>178</v>
      </c>
      <c r="B138" s="6" t="s">
        <v>179</v>
      </c>
      <c r="C138" s="6" t="str">
        <f t="shared" si="6"/>
        <v>High Sales</v>
      </c>
      <c r="D138" s="2">
        <v>142.535</v>
      </c>
      <c r="E138" s="11">
        <v>10.025</v>
      </c>
      <c r="F138" t="s">
        <v>18</v>
      </c>
      <c r="G138">
        <v>13.108000000000001</v>
      </c>
      <c r="H138">
        <v>1.8</v>
      </c>
      <c r="I138">
        <v>120</v>
      </c>
      <c r="J138" t="str" cm="1">
        <f t="array" ref="J138">_xlfn.IFS(I138&lt;120, "Weak", I138&lt;=200, "Moderate", I138&lt;=300, "Powerful", I138&gt;300, "Super")</f>
        <v>Moderate</v>
      </c>
      <c r="K138">
        <v>97</v>
      </c>
      <c r="L138">
        <v>66.7</v>
      </c>
      <c r="M138">
        <v>174</v>
      </c>
      <c r="N138">
        <v>2.42</v>
      </c>
      <c r="O138">
        <v>13.2</v>
      </c>
      <c r="P138">
        <v>33</v>
      </c>
      <c r="Q138" s="1">
        <v>40644</v>
      </c>
      <c r="R138">
        <v>47.96897242</v>
      </c>
    </row>
    <row r="139" spans="1:18" x14ac:dyDescent="0.3">
      <c r="A139" t="s">
        <v>178</v>
      </c>
      <c r="B139" s="6" t="s">
        <v>180</v>
      </c>
      <c r="C139" s="6" t="str">
        <f t="shared" si="6"/>
        <v>High Sales</v>
      </c>
      <c r="D139" s="2">
        <v>247.994</v>
      </c>
      <c r="E139" s="11">
        <v>13.244999999999999</v>
      </c>
      <c r="F139" t="s">
        <v>18</v>
      </c>
      <c r="G139">
        <v>17.518000000000001</v>
      </c>
      <c r="H139">
        <v>2.2000000000000002</v>
      </c>
      <c r="I139">
        <v>133</v>
      </c>
      <c r="J139" t="str" cm="1">
        <f t="array" ref="J139">_xlfn.IFS(I139&lt;120, "Weak", I139&lt;=200, "Moderate", I139&lt;=300, "Powerful", I139&gt;300, "Super")</f>
        <v>Moderate</v>
      </c>
      <c r="K139">
        <v>105.2</v>
      </c>
      <c r="L139">
        <v>70.099999999999994</v>
      </c>
      <c r="M139">
        <v>188.5</v>
      </c>
      <c r="N139">
        <v>2.9980000000000002</v>
      </c>
      <c r="O139">
        <v>18.5</v>
      </c>
      <c r="P139">
        <v>27</v>
      </c>
      <c r="Q139" s="1">
        <v>40584</v>
      </c>
      <c r="R139">
        <v>54.372419649999998</v>
      </c>
    </row>
    <row r="140" spans="1:18" x14ac:dyDescent="0.3">
      <c r="A140" t="s">
        <v>178</v>
      </c>
      <c r="B140" s="6" t="s">
        <v>181</v>
      </c>
      <c r="C140" s="6" t="str">
        <f t="shared" si="6"/>
        <v>High Sales</v>
      </c>
      <c r="D140" s="2">
        <v>63.848999999999997</v>
      </c>
      <c r="E140" s="11">
        <v>18.14</v>
      </c>
      <c r="F140" t="s">
        <v>18</v>
      </c>
      <c r="G140">
        <v>25.545000000000002</v>
      </c>
      <c r="H140">
        <v>3</v>
      </c>
      <c r="I140">
        <v>210</v>
      </c>
      <c r="J140" t="str" cm="1">
        <f t="array" ref="J140">_xlfn.IFS(I140&lt;120, "Weak", I140&lt;=200, "Moderate", I140&lt;=300, "Powerful", I140&gt;300, "Super")</f>
        <v>Powerful</v>
      </c>
      <c r="K140">
        <v>107.1</v>
      </c>
      <c r="L140">
        <v>71.7</v>
      </c>
      <c r="M140">
        <v>191.9</v>
      </c>
      <c r="N140">
        <v>3.4169999999999998</v>
      </c>
      <c r="O140">
        <v>18.5</v>
      </c>
      <c r="P140">
        <v>26</v>
      </c>
      <c r="Q140" s="1">
        <v>40786</v>
      </c>
      <c r="R140">
        <v>84.911898260000001</v>
      </c>
    </row>
    <row r="141" spans="1:18" x14ac:dyDescent="0.3">
      <c r="A141" t="s">
        <v>178</v>
      </c>
      <c r="B141" s="6" t="s">
        <v>182</v>
      </c>
      <c r="C141" s="6" t="str">
        <f t="shared" si="6"/>
        <v>Low Sales</v>
      </c>
      <c r="D141" s="2">
        <v>33.268999999999998</v>
      </c>
      <c r="E141" s="11">
        <v>15.445</v>
      </c>
      <c r="F141" t="s">
        <v>18</v>
      </c>
      <c r="G141">
        <v>16.875</v>
      </c>
      <c r="H141">
        <v>1.8</v>
      </c>
      <c r="I141">
        <v>140</v>
      </c>
      <c r="J141" t="str" cm="1">
        <f t="array" ref="J141">_xlfn.IFS(I141&lt;120, "Weak", I141&lt;=200, "Moderate", I141&lt;=300, "Powerful", I141&gt;300, "Super")</f>
        <v>Moderate</v>
      </c>
      <c r="K141">
        <v>102.4</v>
      </c>
      <c r="L141">
        <v>68.3</v>
      </c>
      <c r="M141">
        <v>170.5</v>
      </c>
      <c r="N141">
        <v>2.4249999999999998</v>
      </c>
      <c r="O141">
        <v>14.5</v>
      </c>
      <c r="P141">
        <v>31</v>
      </c>
      <c r="Q141" s="1">
        <v>41272</v>
      </c>
      <c r="R141">
        <v>56.496030339999997</v>
      </c>
    </row>
    <row r="142" spans="1:18" x14ac:dyDescent="0.3">
      <c r="A142" t="s">
        <v>178</v>
      </c>
      <c r="B142" s="6" t="s">
        <v>183</v>
      </c>
      <c r="C142" s="6" t="str">
        <f t="shared" si="6"/>
        <v>High Sales</v>
      </c>
      <c r="D142" s="2">
        <v>84.087000000000003</v>
      </c>
      <c r="E142" s="11">
        <v>9.5749999999999993</v>
      </c>
      <c r="F142" t="s">
        <v>41</v>
      </c>
      <c r="G142">
        <v>11.528</v>
      </c>
      <c r="H142">
        <v>2.4</v>
      </c>
      <c r="I142">
        <v>142</v>
      </c>
      <c r="J142" t="str" cm="1">
        <f t="array" ref="J142">_xlfn.IFS(I142&lt;120, "Weak", I142&lt;=200, "Moderate", I142&lt;=300, "Powerful", I142&gt;300, "Super")</f>
        <v>Moderate</v>
      </c>
      <c r="K142">
        <v>103.3</v>
      </c>
      <c r="L142">
        <v>66.5</v>
      </c>
      <c r="M142">
        <v>178.7</v>
      </c>
      <c r="N142">
        <v>2.58</v>
      </c>
      <c r="O142">
        <v>15.1</v>
      </c>
      <c r="P142">
        <v>23</v>
      </c>
      <c r="Q142" s="1">
        <v>40756</v>
      </c>
      <c r="R142">
        <v>55.297116580000001</v>
      </c>
    </row>
    <row r="143" spans="1:18" x14ac:dyDescent="0.3">
      <c r="A143" t="s">
        <v>178</v>
      </c>
      <c r="B143" s="6" t="s">
        <v>184</v>
      </c>
      <c r="C143" s="6" t="str">
        <f t="shared" si="6"/>
        <v>High Sales</v>
      </c>
      <c r="D143" s="2">
        <v>65.119</v>
      </c>
      <c r="F143" t="s">
        <v>41</v>
      </c>
      <c r="G143">
        <v>22.367999999999999</v>
      </c>
      <c r="H143">
        <v>3</v>
      </c>
      <c r="I143">
        <v>194</v>
      </c>
      <c r="J143" t="str" cm="1">
        <f t="array" ref="J143">_xlfn.IFS(I143&lt;120, "Weak", I143&lt;=200, "Moderate", I143&lt;=300, "Powerful", I143&gt;300, "Super")</f>
        <v>Moderate</v>
      </c>
      <c r="K143">
        <v>114.2</v>
      </c>
      <c r="L143">
        <v>73.400000000000006</v>
      </c>
      <c r="M143">
        <v>193.5</v>
      </c>
      <c r="N143">
        <v>3.7589999999999999</v>
      </c>
      <c r="O143">
        <v>20.9</v>
      </c>
      <c r="P143">
        <v>22</v>
      </c>
      <c r="Q143" s="1">
        <v>41187</v>
      </c>
      <c r="R143">
        <v>78.027219470000006</v>
      </c>
    </row>
    <row r="144" spans="1:18" x14ac:dyDescent="0.3">
      <c r="A144" t="s">
        <v>178</v>
      </c>
      <c r="B144" s="6" t="s">
        <v>185</v>
      </c>
      <c r="C144" s="6" t="str">
        <f t="shared" si="6"/>
        <v>Low Sales</v>
      </c>
      <c r="D144" s="2">
        <v>25.106000000000002</v>
      </c>
      <c r="E144" s="11">
        <v>13.324999999999999</v>
      </c>
      <c r="F144" t="s">
        <v>41</v>
      </c>
      <c r="G144">
        <v>16.888000000000002</v>
      </c>
      <c r="H144">
        <v>2</v>
      </c>
      <c r="I144">
        <v>127</v>
      </c>
      <c r="J144" t="str" cm="1">
        <f t="array" ref="J144">_xlfn.IFS(I144&lt;120, "Weak", I144&lt;=200, "Moderate", I144&lt;=300, "Powerful", I144&gt;300, "Super")</f>
        <v>Moderate</v>
      </c>
      <c r="K144">
        <v>94.9</v>
      </c>
      <c r="L144">
        <v>66.7</v>
      </c>
      <c r="M144">
        <v>163.80000000000001</v>
      </c>
      <c r="N144">
        <v>2.6680000000000001</v>
      </c>
      <c r="O144">
        <v>15.3</v>
      </c>
      <c r="P144">
        <v>27</v>
      </c>
      <c r="Q144" s="1">
        <v>40669</v>
      </c>
      <c r="R144">
        <v>51.955108869999997</v>
      </c>
    </row>
    <row r="145" spans="1:18" x14ac:dyDescent="0.3">
      <c r="A145" t="s">
        <v>178</v>
      </c>
      <c r="B145" s="6" t="s">
        <v>186</v>
      </c>
      <c r="C145" s="6" t="str">
        <f t="shared" si="6"/>
        <v>High Sales</v>
      </c>
      <c r="D145" s="2">
        <v>68.411000000000001</v>
      </c>
      <c r="E145" s="11">
        <v>19.425000000000001</v>
      </c>
      <c r="F145" t="s">
        <v>41</v>
      </c>
      <c r="G145">
        <v>22.288</v>
      </c>
      <c r="H145">
        <v>2.7</v>
      </c>
      <c r="I145">
        <v>150</v>
      </c>
      <c r="J145" t="str" cm="1">
        <f t="array" ref="J145">_xlfn.IFS(I145&lt;120, "Weak", I145&lt;=200, "Moderate", I145&lt;=300, "Powerful", I145&gt;300, "Super")</f>
        <v>Moderate</v>
      </c>
      <c r="K145">
        <v>105.3</v>
      </c>
      <c r="L145">
        <v>66.5</v>
      </c>
      <c r="M145">
        <v>183.3</v>
      </c>
      <c r="N145">
        <v>3.44</v>
      </c>
      <c r="O145">
        <v>18.5</v>
      </c>
      <c r="P145">
        <v>23</v>
      </c>
      <c r="Q145" s="1">
        <v>40609</v>
      </c>
      <c r="R145">
        <v>62.35557713</v>
      </c>
    </row>
    <row r="146" spans="1:18" x14ac:dyDescent="0.3">
      <c r="A146" t="s">
        <v>178</v>
      </c>
      <c r="B146" s="6" t="s">
        <v>187</v>
      </c>
      <c r="C146" s="6" t="str">
        <f t="shared" si="6"/>
        <v>Low Sales</v>
      </c>
      <c r="D146" s="2">
        <v>9.8350000000000009</v>
      </c>
      <c r="E146" s="11">
        <v>34.08</v>
      </c>
      <c r="F146" t="s">
        <v>41</v>
      </c>
      <c r="G146">
        <v>51.728000000000002</v>
      </c>
      <c r="H146">
        <v>4.7</v>
      </c>
      <c r="I146">
        <v>230</v>
      </c>
      <c r="J146" t="str" cm="1">
        <f t="array" ref="J146">_xlfn.IFS(I146&lt;120, "Weak", I146&lt;=200, "Moderate", I146&lt;=300, "Powerful", I146&gt;300, "Super")</f>
        <v>Powerful</v>
      </c>
      <c r="K146">
        <v>112.2</v>
      </c>
      <c r="L146">
        <v>76.400000000000006</v>
      </c>
      <c r="M146">
        <v>192.5</v>
      </c>
      <c r="N146">
        <v>5.1150000000000002</v>
      </c>
      <c r="O146">
        <v>25.4</v>
      </c>
      <c r="P146">
        <v>15</v>
      </c>
      <c r="Q146" s="1">
        <v>40811</v>
      </c>
      <c r="R146">
        <v>102.5289842</v>
      </c>
    </row>
    <row r="147" spans="1:18" x14ac:dyDescent="0.3">
      <c r="A147" t="s">
        <v>188</v>
      </c>
      <c r="B147" s="6" t="s">
        <v>189</v>
      </c>
      <c r="C147" s="6" t="str">
        <f t="shared" si="6"/>
        <v>Low Sales</v>
      </c>
      <c r="D147" s="2">
        <v>9.7609999999999992</v>
      </c>
      <c r="E147" s="11">
        <v>11.425000000000001</v>
      </c>
      <c r="F147" t="s">
        <v>18</v>
      </c>
      <c r="G147">
        <v>14.9</v>
      </c>
      <c r="H147">
        <v>2</v>
      </c>
      <c r="I147">
        <v>115</v>
      </c>
      <c r="J147" t="str" cm="1">
        <f t="array" ref="J147">_xlfn.IFS(I147&lt;120, "Weak", I147&lt;=200, "Moderate", I147&lt;=300, "Powerful", I147&gt;300, "Super")</f>
        <v>Weak</v>
      </c>
      <c r="K147">
        <v>98.9</v>
      </c>
      <c r="L147">
        <v>68.3</v>
      </c>
      <c r="M147">
        <v>163.30000000000001</v>
      </c>
      <c r="N147">
        <v>2.7669999999999999</v>
      </c>
      <c r="O147">
        <v>14.5</v>
      </c>
      <c r="P147">
        <v>26</v>
      </c>
      <c r="Q147" s="1">
        <v>40567</v>
      </c>
      <c r="R147">
        <v>46.943876760000002</v>
      </c>
    </row>
    <row r="148" spans="1:18" x14ac:dyDescent="0.3">
      <c r="A148" t="s">
        <v>188</v>
      </c>
      <c r="B148" s="6" t="s">
        <v>190</v>
      </c>
      <c r="C148" s="6" t="str">
        <f t="shared" si="6"/>
        <v>High Sales</v>
      </c>
      <c r="D148" s="2">
        <v>83.721000000000004</v>
      </c>
      <c r="E148" s="11">
        <v>13.24</v>
      </c>
      <c r="F148" t="s">
        <v>18</v>
      </c>
      <c r="G148">
        <v>16.7</v>
      </c>
      <c r="H148">
        <v>2</v>
      </c>
      <c r="I148">
        <v>115</v>
      </c>
      <c r="J148" t="str" cm="1">
        <f t="array" ref="J148">_xlfn.IFS(I148&lt;120, "Weak", I148&lt;=200, "Moderate", I148&lt;=300, "Powerful", I148&gt;300, "Super")</f>
        <v>Weak</v>
      </c>
      <c r="K148">
        <v>98.9</v>
      </c>
      <c r="L148">
        <v>68.3</v>
      </c>
      <c r="M148">
        <v>172.3</v>
      </c>
      <c r="N148">
        <v>2.8530000000000002</v>
      </c>
      <c r="O148">
        <v>14.5</v>
      </c>
      <c r="P148">
        <v>26</v>
      </c>
      <c r="Q148" s="1">
        <v>40782</v>
      </c>
      <c r="R148">
        <v>47.638236659999997</v>
      </c>
    </row>
    <row r="149" spans="1:18" x14ac:dyDescent="0.3">
      <c r="A149" t="s">
        <v>188</v>
      </c>
      <c r="B149" s="6" t="s">
        <v>191</v>
      </c>
      <c r="C149" s="6" t="str">
        <f t="shared" si="6"/>
        <v>High Sales</v>
      </c>
      <c r="D149" s="2">
        <v>51.101999999999997</v>
      </c>
      <c r="E149" s="11">
        <v>16.725000000000001</v>
      </c>
      <c r="F149" t="s">
        <v>18</v>
      </c>
      <c r="G149">
        <v>21.2</v>
      </c>
      <c r="H149">
        <v>1.8</v>
      </c>
      <c r="I149">
        <v>150</v>
      </c>
      <c r="J149" t="str" cm="1">
        <f t="array" ref="J149">_xlfn.IFS(I149&lt;120, "Weak", I149&lt;=200, "Moderate", I149&lt;=300, "Powerful", I149&gt;300, "Super")</f>
        <v>Moderate</v>
      </c>
      <c r="K149">
        <v>106.4</v>
      </c>
      <c r="L149">
        <v>68.5</v>
      </c>
      <c r="M149">
        <v>184.1</v>
      </c>
      <c r="N149">
        <v>3.0430000000000001</v>
      </c>
      <c r="O149">
        <v>16.399999999999999</v>
      </c>
      <c r="P149">
        <v>27</v>
      </c>
      <c r="Q149" s="1">
        <v>41212</v>
      </c>
      <c r="R149">
        <v>61.701381359999999</v>
      </c>
    </row>
    <row r="150" spans="1:18" x14ac:dyDescent="0.3">
      <c r="A150" t="s">
        <v>188</v>
      </c>
      <c r="B150" s="6" t="s">
        <v>192</v>
      </c>
      <c r="C150" s="6" t="str">
        <f t="shared" si="6"/>
        <v>Low Sales</v>
      </c>
      <c r="D150" s="2">
        <v>9.5690000000000008</v>
      </c>
      <c r="E150" s="11">
        <v>16.574999999999999</v>
      </c>
      <c r="F150" t="s">
        <v>18</v>
      </c>
      <c r="G150">
        <v>19.989999999999998</v>
      </c>
      <c r="H150">
        <v>2</v>
      </c>
      <c r="I150">
        <v>115</v>
      </c>
      <c r="J150" t="str" cm="1">
        <f t="array" ref="J150">_xlfn.IFS(I150&lt;120, "Weak", I150&lt;=200, "Moderate", I150&lt;=300, "Powerful", I150&gt;300, "Super")</f>
        <v>Weak</v>
      </c>
      <c r="K150">
        <v>97.4</v>
      </c>
      <c r="L150">
        <v>66.7</v>
      </c>
      <c r="M150">
        <v>160.4</v>
      </c>
      <c r="N150">
        <v>3.0790000000000002</v>
      </c>
      <c r="O150">
        <v>13.7</v>
      </c>
      <c r="P150">
        <v>26</v>
      </c>
      <c r="Q150" s="1">
        <v>40694</v>
      </c>
      <c r="R150">
        <v>48.907372250000002</v>
      </c>
    </row>
    <row r="151" spans="1:18" x14ac:dyDescent="0.3">
      <c r="A151" t="s">
        <v>188</v>
      </c>
      <c r="B151" s="6" t="s">
        <v>193</v>
      </c>
      <c r="C151" s="6" t="str">
        <f t="shared" si="6"/>
        <v>Low Sales</v>
      </c>
      <c r="D151" s="2">
        <v>5.5960000000000001</v>
      </c>
      <c r="E151" s="11">
        <v>13.76</v>
      </c>
      <c r="F151" t="s">
        <v>18</v>
      </c>
      <c r="G151">
        <v>17.5</v>
      </c>
      <c r="H151">
        <v>2</v>
      </c>
      <c r="I151">
        <v>115</v>
      </c>
      <c r="J151" t="str" cm="1">
        <f t="array" ref="J151">_xlfn.IFS(I151&lt;120, "Weak", I151&lt;=200, "Moderate", I151&lt;=300, "Powerful", I151&gt;300, "Super")</f>
        <v>Weak</v>
      </c>
      <c r="K151">
        <v>98.9</v>
      </c>
      <c r="L151">
        <v>68.3</v>
      </c>
      <c r="M151">
        <v>163.30000000000001</v>
      </c>
      <c r="N151">
        <v>2.762</v>
      </c>
      <c r="O151">
        <v>14.6</v>
      </c>
      <c r="P151">
        <v>26</v>
      </c>
      <c r="Q151" s="1">
        <v>40634</v>
      </c>
      <c r="R151">
        <v>47.946841059999997</v>
      </c>
    </row>
    <row r="152" spans="1:18" x14ac:dyDescent="0.3">
      <c r="A152" t="s">
        <v>188</v>
      </c>
      <c r="B152" s="6" t="s">
        <v>194</v>
      </c>
      <c r="C152" s="6" t="str">
        <f t="shared" si="6"/>
        <v>Low Sales</v>
      </c>
      <c r="D152" s="2">
        <v>49.463000000000001</v>
      </c>
      <c r="F152" t="s">
        <v>18</v>
      </c>
      <c r="G152">
        <v>15.9</v>
      </c>
      <c r="H152">
        <v>2</v>
      </c>
      <c r="I152">
        <v>115</v>
      </c>
      <c r="J152" t="str" cm="1">
        <f t="array" ref="J152">_xlfn.IFS(I152&lt;120, "Weak", I152&lt;=200, "Moderate", I152&lt;=300, "Powerful", I152&gt;300, "Super")</f>
        <v>Weak</v>
      </c>
      <c r="K152">
        <v>98.9</v>
      </c>
      <c r="L152">
        <v>67.900000000000006</v>
      </c>
      <c r="M152">
        <v>161.1</v>
      </c>
      <c r="N152">
        <v>2.7690000000000001</v>
      </c>
      <c r="O152">
        <v>14.5</v>
      </c>
      <c r="P152">
        <v>26</v>
      </c>
      <c r="Q152" s="1">
        <v>40836</v>
      </c>
      <c r="R152">
        <v>47.329632259999997</v>
      </c>
    </row>
    <row r="153" spans="1:18" x14ac:dyDescent="0.3">
      <c r="A153" t="s">
        <v>195</v>
      </c>
      <c r="B153" s="6" t="s">
        <v>196</v>
      </c>
      <c r="C153" s="6" t="str">
        <f t="shared" si="6"/>
        <v>Low Sales</v>
      </c>
      <c r="D153" s="2">
        <v>16.957000000000001</v>
      </c>
      <c r="F153" t="s">
        <v>18</v>
      </c>
      <c r="G153">
        <v>23.4</v>
      </c>
      <c r="H153">
        <v>1.9</v>
      </c>
      <c r="I153">
        <v>160</v>
      </c>
      <c r="J153" t="str" cm="1">
        <f t="array" ref="J153">_xlfn.IFS(I153&lt;120, "Weak", I153&lt;=200, "Moderate", I153&lt;=300, "Powerful", I153&gt;300, "Super")</f>
        <v>Moderate</v>
      </c>
      <c r="K153">
        <v>100.5</v>
      </c>
      <c r="L153">
        <v>67.599999999999994</v>
      </c>
      <c r="M153">
        <v>176.6</v>
      </c>
      <c r="N153">
        <v>2.9980000000000002</v>
      </c>
      <c r="O153">
        <v>15.8</v>
      </c>
      <c r="P153">
        <v>25</v>
      </c>
      <c r="Q153" s="1">
        <v>40592</v>
      </c>
      <c r="R153">
        <v>66.113056799999995</v>
      </c>
    </row>
    <row r="154" spans="1:18" x14ac:dyDescent="0.3">
      <c r="A154" t="s">
        <v>195</v>
      </c>
      <c r="B154" s="6" t="s">
        <v>197</v>
      </c>
      <c r="C154" s="6" t="str">
        <f t="shared" si="6"/>
        <v>Low Sales</v>
      </c>
      <c r="D154" s="2">
        <v>3.5449999999999999</v>
      </c>
      <c r="F154" t="s">
        <v>18</v>
      </c>
      <c r="G154">
        <v>24.4</v>
      </c>
      <c r="H154">
        <v>1.9</v>
      </c>
      <c r="I154">
        <v>160</v>
      </c>
      <c r="J154" t="str" cm="1">
        <f t="array" ref="J154">_xlfn.IFS(I154&lt;120, "Weak", I154&lt;=200, "Moderate", I154&lt;=300, "Powerful", I154&gt;300, "Super")</f>
        <v>Moderate</v>
      </c>
      <c r="K154">
        <v>100.5</v>
      </c>
      <c r="L154">
        <v>67.599999999999994</v>
      </c>
      <c r="M154">
        <v>176.6</v>
      </c>
      <c r="N154">
        <v>3.0419999999999998</v>
      </c>
      <c r="O154">
        <v>15.8</v>
      </c>
      <c r="P154">
        <v>25</v>
      </c>
      <c r="Q154" s="1">
        <v>40807</v>
      </c>
      <c r="R154">
        <v>66.498812299999997</v>
      </c>
    </row>
    <row r="155" spans="1:18" x14ac:dyDescent="0.3">
      <c r="A155" t="s">
        <v>195</v>
      </c>
      <c r="B155" s="6" t="s">
        <v>198</v>
      </c>
      <c r="C155" s="6" t="str">
        <f t="shared" si="6"/>
        <v>Low Sales</v>
      </c>
      <c r="D155" s="2">
        <v>15.244999999999999</v>
      </c>
      <c r="F155" t="s">
        <v>18</v>
      </c>
      <c r="G155">
        <v>27.5</v>
      </c>
      <c r="H155">
        <v>2.4</v>
      </c>
      <c r="I155">
        <v>168</v>
      </c>
      <c r="J155" t="str" cm="1">
        <f t="array" ref="J155">_xlfn.IFS(I155&lt;120, "Weak", I155&lt;=200, "Moderate", I155&lt;=300, "Powerful", I155&gt;300, "Super")</f>
        <v>Moderate</v>
      </c>
      <c r="K155">
        <v>104.9</v>
      </c>
      <c r="L155">
        <v>69.3</v>
      </c>
      <c r="M155">
        <v>185.9</v>
      </c>
      <c r="N155">
        <v>3.2080000000000002</v>
      </c>
      <c r="O155">
        <v>17.899999999999999</v>
      </c>
      <c r="P155">
        <v>25</v>
      </c>
      <c r="Q155" s="1">
        <v>41237</v>
      </c>
      <c r="R155">
        <v>70.654495449999999</v>
      </c>
    </row>
    <row r="156" spans="1:18" x14ac:dyDescent="0.3">
      <c r="A156" t="s">
        <v>195</v>
      </c>
      <c r="B156" s="6" t="s">
        <v>199</v>
      </c>
      <c r="C156" s="6" t="str">
        <f t="shared" si="6"/>
        <v>Low Sales</v>
      </c>
      <c r="D156" s="2">
        <v>17.530999999999999</v>
      </c>
      <c r="F156" t="s">
        <v>18</v>
      </c>
      <c r="G156">
        <v>28.8</v>
      </c>
      <c r="H156">
        <v>2.4</v>
      </c>
      <c r="I156">
        <v>168</v>
      </c>
      <c r="J156" t="str" cm="1">
        <f t="array" ref="J156">_xlfn.IFS(I156&lt;120, "Weak", I156&lt;=200, "Moderate", I156&lt;=300, "Powerful", I156&gt;300, "Super")</f>
        <v>Moderate</v>
      </c>
      <c r="K156">
        <v>104.9</v>
      </c>
      <c r="L156">
        <v>69.3</v>
      </c>
      <c r="M156">
        <v>186.2</v>
      </c>
      <c r="N156">
        <v>3.2589999999999999</v>
      </c>
      <c r="O156">
        <v>17.899999999999999</v>
      </c>
      <c r="P156">
        <v>25</v>
      </c>
      <c r="Q156" s="1">
        <v>40719</v>
      </c>
      <c r="R156">
        <v>71.1559776</v>
      </c>
    </row>
    <row r="157" spans="1:18" x14ac:dyDescent="0.3">
      <c r="A157" t="s">
        <v>195</v>
      </c>
      <c r="B157" s="6" t="s">
        <v>200</v>
      </c>
      <c r="C157" s="6" t="str">
        <f t="shared" si="6"/>
        <v>Low Sales</v>
      </c>
      <c r="D157" s="2">
        <v>3.4929999999999999</v>
      </c>
      <c r="F157" t="s">
        <v>18</v>
      </c>
      <c r="G157">
        <v>45.5</v>
      </c>
      <c r="H157">
        <v>2.2999999999999998</v>
      </c>
      <c r="I157">
        <v>236</v>
      </c>
      <c r="J157" t="str" cm="1">
        <f t="array" ref="J157">_xlfn.IFS(I157&lt;120, "Weak", I157&lt;=200, "Moderate", I157&lt;=300, "Powerful", I157&gt;300, "Super")</f>
        <v>Powerful</v>
      </c>
      <c r="K157">
        <v>104.9</v>
      </c>
      <c r="L157">
        <v>71.5</v>
      </c>
      <c r="M157">
        <v>185.7</v>
      </c>
      <c r="N157">
        <v>3.601</v>
      </c>
      <c r="O157">
        <v>18.5</v>
      </c>
      <c r="P157">
        <v>23</v>
      </c>
      <c r="Q157" s="1">
        <v>40659</v>
      </c>
      <c r="R157">
        <v>101.6233572</v>
      </c>
    </row>
    <row r="158" spans="1:18" x14ac:dyDescent="0.3">
      <c r="A158" t="s">
        <v>195</v>
      </c>
      <c r="B158" s="6" t="s">
        <v>201</v>
      </c>
      <c r="C158" s="6" t="str">
        <f t="shared" si="6"/>
        <v>Low Sales</v>
      </c>
      <c r="D158" s="2">
        <v>18.969000000000001</v>
      </c>
      <c r="F158" t="s">
        <v>18</v>
      </c>
      <c r="G158">
        <v>36</v>
      </c>
      <c r="H158">
        <v>2.9</v>
      </c>
      <c r="I158">
        <v>201</v>
      </c>
      <c r="J158" t="str" cm="1">
        <f t="array" ref="J158">_xlfn.IFS(I158&lt;120, "Weak", I158&lt;=200, "Moderate", I158&lt;=300, "Powerful", I158&gt;300, "Super")</f>
        <v>Powerful</v>
      </c>
      <c r="K158">
        <v>109.9</v>
      </c>
      <c r="L158">
        <v>72.099999999999994</v>
      </c>
      <c r="M158">
        <v>189.8</v>
      </c>
      <c r="N158">
        <v>3.6</v>
      </c>
      <c r="O158">
        <v>21.1</v>
      </c>
      <c r="P158">
        <v>24</v>
      </c>
      <c r="Q158" s="1">
        <v>40861</v>
      </c>
      <c r="R158">
        <v>85.735654510000003</v>
      </c>
    </row>
    <row r="160" spans="1:18" ht="57.6" customHeight="1" x14ac:dyDescent="0.3"/>
  </sheetData>
  <mergeCells count="1">
    <mergeCell ref="T1:V1"/>
  </mergeCells>
  <conditionalFormatting sqref="C2:C158">
    <cfRule type="containsText" dxfId="37" priority="9" operator="containsText" text="Low Sales">
      <formula>NOT(ISERROR(SEARCH("Low Sales",C2)))</formula>
    </cfRule>
    <cfRule type="containsText" dxfId="36" priority="10" operator="containsText" text="High Sales">
      <formula>NOT(ISERROR(SEARCH("High Sales",C2)))</formula>
    </cfRule>
  </conditionalFormatting>
  <conditionalFormatting sqref="J1:J1048576">
    <cfRule type="containsText" dxfId="35" priority="4" operator="containsText" text="weak">
      <formula>NOT(ISERROR(SEARCH("weak",J1)))</formula>
    </cfRule>
    <cfRule type="containsText" dxfId="34" priority="5" operator="containsText" text="Super">
      <formula>NOT(ISERROR(SEARCH("Super",J1)))</formula>
    </cfRule>
    <cfRule type="containsText" dxfId="33" priority="6" operator="containsText" text="Moderate">
      <formula>NOT(ISERROR(SEARCH("Moderate",J1)))</formula>
    </cfRule>
    <cfRule type="containsText" dxfId="32" priority="7" operator="containsText" text="Powerful">
      <formula>NOT(ISERROR(SEARCH("Powerful",J1)))</formula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:U1048576">
    <cfRule type="containsText" dxfId="31" priority="1" operator="containsText" text="Low Sales">
      <formula>NOT(ISERROR(SEARCH("Low Sales",U1)))</formula>
    </cfRule>
    <cfRule type="containsText" dxfId="30" priority="2" operator="containsText" text="Low Sales ">
      <formula>NOT(ISERROR(SEARCH("Low Sales ",U1)))</formula>
    </cfRule>
    <cfRule type="containsText" dxfId="29" priority="3" operator="containsText" text="High Sales">
      <formula>NOT(ISERROR(SEARCH("High Sales",U1)))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3A21-3ACB-42C3-AC20-D387D57E4F9C}">
  <dimension ref="A1:X158"/>
  <sheetViews>
    <sheetView workbookViewId="0">
      <selection activeCell="U5" sqref="U5"/>
    </sheetView>
  </sheetViews>
  <sheetFormatPr defaultRowHeight="14.4" x14ac:dyDescent="0.3"/>
  <cols>
    <col min="1" max="1" width="13.88671875" bestFit="1" customWidth="1"/>
    <col min="2" max="2" width="15.44140625" bestFit="1" customWidth="1"/>
    <col min="3" max="3" width="16.21875" bestFit="1" customWidth="1"/>
    <col min="4" max="4" width="19.6640625" bestFit="1" customWidth="1"/>
    <col min="5" max="5" width="21.6640625" bestFit="1" customWidth="1"/>
    <col min="6" max="6" width="13.109375" bestFit="1" customWidth="1"/>
    <col min="7" max="7" width="19.5546875" bestFit="1" customWidth="1"/>
    <col min="8" max="8" width="11.77734375" bestFit="1" customWidth="1"/>
    <col min="9" max="9" width="12.44140625" bestFit="1" customWidth="1"/>
    <col min="17" max="17" width="16.5546875" bestFit="1" customWidth="1"/>
    <col min="20" max="20" width="7.88671875" bestFit="1" customWidth="1"/>
    <col min="21" max="21" width="9.77734375" bestFit="1" customWidth="1"/>
    <col min="22" max="22" width="10.77734375" bestFit="1" customWidth="1"/>
  </cols>
  <sheetData>
    <row r="1" spans="1:24" ht="15.6" x14ac:dyDescent="0.3">
      <c r="A1" s="3" t="s">
        <v>0</v>
      </c>
      <c r="B1" s="5" t="s">
        <v>1</v>
      </c>
      <c r="C1" s="5" t="s">
        <v>211</v>
      </c>
      <c r="D1" s="4" t="s">
        <v>2</v>
      </c>
      <c r="E1" s="10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212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</row>
    <row r="2" spans="1:24" x14ac:dyDescent="0.3">
      <c r="A2" t="s">
        <v>16</v>
      </c>
      <c r="B2" s="6" t="s">
        <v>17</v>
      </c>
      <c r="C2" s="6" t="str">
        <f>IF(D2&gt;20,"High Sales","Low Sales")</f>
        <v>Low Sales</v>
      </c>
      <c r="D2" s="2">
        <v>16.919</v>
      </c>
      <c r="E2" s="11">
        <v>16.36</v>
      </c>
      <c r="F2" t="s">
        <v>18</v>
      </c>
      <c r="G2">
        <v>21.5</v>
      </c>
      <c r="H2">
        <v>1.8</v>
      </c>
      <c r="I2">
        <v>140</v>
      </c>
      <c r="J2" t="str" cm="1">
        <f t="array" ref="J2">_xlfn.IFS(I2&lt;120, "Weak", I2&lt;=200, "Moderate", I2&lt;=300, "Powerful", I2&gt;300, "Super")</f>
        <v>Moderate</v>
      </c>
      <c r="K2">
        <v>101.2</v>
      </c>
      <c r="L2">
        <v>67.3</v>
      </c>
      <c r="M2">
        <v>172.4</v>
      </c>
      <c r="N2">
        <v>2.6389999999999998</v>
      </c>
      <c r="O2">
        <v>13.2</v>
      </c>
      <c r="P2">
        <v>28</v>
      </c>
      <c r="Q2" s="1">
        <v>40941</v>
      </c>
      <c r="R2">
        <v>58.280149520000002</v>
      </c>
    </row>
    <row r="3" spans="1:24" x14ac:dyDescent="0.3">
      <c r="A3" t="s">
        <v>16</v>
      </c>
      <c r="B3" s="6" t="s">
        <v>19</v>
      </c>
      <c r="C3" s="6" t="str">
        <f t="shared" ref="C3:C66" si="0">IF(D3&gt;20,"High Sales","Low Sales")</f>
        <v>High Sales</v>
      </c>
      <c r="D3" s="2">
        <v>39.384</v>
      </c>
      <c r="E3" s="11">
        <v>19.875</v>
      </c>
      <c r="F3" t="s">
        <v>18</v>
      </c>
      <c r="G3">
        <v>28.4</v>
      </c>
      <c r="H3">
        <v>3.2</v>
      </c>
      <c r="I3">
        <v>225</v>
      </c>
      <c r="J3" t="str" cm="1">
        <f t="array" ref="J3">_xlfn.IFS(I3&lt;120, "Weak", I3&lt;=200, "Moderate", I3&lt;=300, "Powerful", I3&gt;300, "Super")</f>
        <v>Powerful</v>
      </c>
      <c r="K3">
        <v>108.1</v>
      </c>
      <c r="L3">
        <v>70.3</v>
      </c>
      <c r="M3">
        <v>192.9</v>
      </c>
      <c r="N3">
        <v>3.5169999999999999</v>
      </c>
      <c r="O3">
        <v>17.2</v>
      </c>
      <c r="P3">
        <v>25</v>
      </c>
      <c r="Q3" s="1">
        <v>40697</v>
      </c>
      <c r="R3">
        <v>91.370777660000002</v>
      </c>
    </row>
    <row r="4" spans="1:24" x14ac:dyDescent="0.3">
      <c r="A4" t="s">
        <v>16</v>
      </c>
      <c r="B4" s="6" t="s">
        <v>20</v>
      </c>
      <c r="C4" s="6" t="str">
        <f t="shared" si="0"/>
        <v>Low Sales</v>
      </c>
      <c r="D4" s="2">
        <v>14.114000000000001</v>
      </c>
      <c r="E4" s="11">
        <v>18.225000000000001</v>
      </c>
      <c r="F4" t="s">
        <v>18</v>
      </c>
      <c r="H4">
        <v>3.2</v>
      </c>
      <c r="I4">
        <v>225</v>
      </c>
      <c r="J4" t="str" cm="1">
        <f t="array" ref="J4">_xlfn.IFS(I4&lt;120, "Weak", I4&lt;=200, "Moderate", I4&lt;=300, "Powerful", I4&gt;300, "Super")</f>
        <v>Powerful</v>
      </c>
      <c r="K4">
        <v>106.9</v>
      </c>
      <c r="L4">
        <v>70.599999999999994</v>
      </c>
      <c r="M4">
        <v>192</v>
      </c>
      <c r="N4">
        <v>3.47</v>
      </c>
      <c r="O4">
        <v>17.2</v>
      </c>
      <c r="P4">
        <v>26</v>
      </c>
      <c r="Q4" s="1">
        <v>40912</v>
      </c>
    </row>
    <row r="5" spans="1:24" x14ac:dyDescent="0.3">
      <c r="A5" t="s">
        <v>16</v>
      </c>
      <c r="B5" s="6" t="s">
        <v>21</v>
      </c>
      <c r="C5" s="6" t="str">
        <f t="shared" si="0"/>
        <v>Low Sales</v>
      </c>
      <c r="D5" s="2">
        <v>8.5879999999999992</v>
      </c>
      <c r="E5" s="11">
        <v>29.725000000000001</v>
      </c>
      <c r="F5" t="s">
        <v>18</v>
      </c>
      <c r="G5">
        <v>42</v>
      </c>
      <c r="H5">
        <v>3.5</v>
      </c>
      <c r="I5">
        <v>210</v>
      </c>
      <c r="J5" t="str" cm="1">
        <f t="array" ref="J5">_xlfn.IFS(I5&lt;120, "Weak", I5&lt;=200, "Moderate", I5&lt;=300, "Powerful", I5&gt;300, "Super")</f>
        <v>Powerful</v>
      </c>
      <c r="K5">
        <v>114.6</v>
      </c>
      <c r="L5">
        <v>71.400000000000006</v>
      </c>
      <c r="M5">
        <v>196.6</v>
      </c>
      <c r="N5">
        <v>3.85</v>
      </c>
      <c r="O5">
        <v>18</v>
      </c>
      <c r="P5">
        <v>22</v>
      </c>
      <c r="Q5" s="1">
        <v>40612</v>
      </c>
      <c r="R5">
        <v>91.389779329999996</v>
      </c>
      <c r="T5" s="43" t="s">
        <v>244</v>
      </c>
      <c r="U5" s="43" t="s">
        <v>245</v>
      </c>
      <c r="V5" s="43" t="s">
        <v>246</v>
      </c>
    </row>
    <row r="6" spans="1:24" x14ac:dyDescent="0.3">
      <c r="A6" t="s">
        <v>22</v>
      </c>
      <c r="B6" s="6" t="s">
        <v>23</v>
      </c>
      <c r="C6" s="6" t="str">
        <f t="shared" si="0"/>
        <v>High Sales</v>
      </c>
      <c r="D6" s="2">
        <v>20.396999999999998</v>
      </c>
      <c r="E6" s="11">
        <v>22.254999999999999</v>
      </c>
      <c r="F6" t="s">
        <v>18</v>
      </c>
      <c r="G6">
        <v>23.99</v>
      </c>
      <c r="H6">
        <v>1.8</v>
      </c>
      <c r="I6">
        <v>150</v>
      </c>
      <c r="J6" t="str" cm="1">
        <f t="array" ref="J6">_xlfn.IFS(I6&lt;120, "Weak", I6&lt;=200, "Moderate", I6&lt;=300, "Powerful", I6&gt;300, "Super")</f>
        <v>Moderate</v>
      </c>
      <c r="K6">
        <v>102.6</v>
      </c>
      <c r="L6">
        <v>68.2</v>
      </c>
      <c r="M6">
        <v>178</v>
      </c>
      <c r="N6">
        <v>2.9980000000000002</v>
      </c>
      <c r="O6">
        <v>16.399999999999999</v>
      </c>
      <c r="P6">
        <v>27</v>
      </c>
      <c r="Q6" s="1">
        <v>40824</v>
      </c>
      <c r="R6">
        <v>62.777639200000003</v>
      </c>
      <c r="T6" cm="1">
        <f t="array" ref="T6:V6">_xlfn.XLOOKUP(1, (A:A="Toyota")*(B:B="Camry"), G:I)</f>
        <v>17.518000000000001</v>
      </c>
      <c r="U6">
        <v>2.2000000000000002</v>
      </c>
      <c r="V6">
        <v>133</v>
      </c>
    </row>
    <row r="7" spans="1:24" x14ac:dyDescent="0.3">
      <c r="A7" t="s">
        <v>22</v>
      </c>
      <c r="B7" s="6" t="s">
        <v>24</v>
      </c>
      <c r="C7" s="6" t="str">
        <f t="shared" si="0"/>
        <v>Low Sales</v>
      </c>
      <c r="D7" s="2">
        <v>18.78</v>
      </c>
      <c r="E7" s="11">
        <v>23.555</v>
      </c>
      <c r="F7" t="s">
        <v>18</v>
      </c>
      <c r="G7">
        <v>33.950000000000003</v>
      </c>
      <c r="H7">
        <v>2.8</v>
      </c>
      <c r="I7">
        <v>200</v>
      </c>
      <c r="J7" t="str" cm="1">
        <f t="array" ref="J7">_xlfn.IFS(I7&lt;120, "Weak", I7&lt;=200, "Moderate", I7&lt;=300, "Powerful", I7&gt;300, "Super")</f>
        <v>Moderate</v>
      </c>
      <c r="K7">
        <v>108.7</v>
      </c>
      <c r="L7">
        <v>76.099999999999994</v>
      </c>
      <c r="M7">
        <v>192</v>
      </c>
      <c r="N7">
        <v>3.5609999999999999</v>
      </c>
      <c r="O7">
        <v>18.5</v>
      </c>
      <c r="P7">
        <v>22</v>
      </c>
      <c r="Q7" s="1">
        <v>40764</v>
      </c>
      <c r="R7">
        <v>84.565105020000004</v>
      </c>
      <c r="T7" s="9" t="s">
        <v>247</v>
      </c>
    </row>
    <row r="8" spans="1:24" x14ac:dyDescent="0.3">
      <c r="A8" t="s">
        <v>22</v>
      </c>
      <c r="B8" s="6" t="s">
        <v>25</v>
      </c>
      <c r="C8" s="6" t="str">
        <f t="shared" si="0"/>
        <v>Low Sales</v>
      </c>
      <c r="D8" s="2">
        <v>1.38</v>
      </c>
      <c r="E8" s="11">
        <v>39</v>
      </c>
      <c r="F8" t="s">
        <v>18</v>
      </c>
      <c r="G8">
        <v>62</v>
      </c>
      <c r="H8">
        <v>4.2</v>
      </c>
      <c r="I8">
        <v>310</v>
      </c>
      <c r="J8" t="str" cm="1">
        <f t="array" ref="J8">_xlfn.IFS(I8&lt;120, "Weak", I8&lt;=200, "Moderate", I8&lt;=300, "Powerful", I8&gt;300, "Super")</f>
        <v>Super</v>
      </c>
      <c r="K8">
        <v>113</v>
      </c>
      <c r="L8">
        <v>74</v>
      </c>
      <c r="M8">
        <v>198.2</v>
      </c>
      <c r="N8">
        <v>3.9020000000000001</v>
      </c>
      <c r="O8">
        <v>23.7</v>
      </c>
      <c r="P8">
        <v>21</v>
      </c>
      <c r="Q8" s="1">
        <v>40966</v>
      </c>
      <c r="R8">
        <v>134.65685819999999</v>
      </c>
      <c r="T8" t="str" cm="1">
        <f t="array" ref="T8:X8">_xlfn.XLOOKUP(1, (G:G&gt;=20)*(G:G&lt;=30)*(D:D&gt;100), B:F)</f>
        <v>Durango</v>
      </c>
      <c r="U8" t="str">
        <v>High Sales</v>
      </c>
      <c r="V8">
        <v>101.32299999999999</v>
      </c>
      <c r="W8">
        <v>0</v>
      </c>
      <c r="X8" t="str">
        <v>Car</v>
      </c>
    </row>
    <row r="9" spans="1:24" x14ac:dyDescent="0.3">
      <c r="A9" t="s">
        <v>26</v>
      </c>
      <c r="B9" s="6" t="s">
        <v>27</v>
      </c>
      <c r="C9" s="6" t="str">
        <f t="shared" si="0"/>
        <v>Low Sales</v>
      </c>
      <c r="D9" s="2">
        <v>19.747</v>
      </c>
      <c r="E9" s="11"/>
      <c r="F9" t="s">
        <v>18</v>
      </c>
      <c r="G9">
        <v>26.99</v>
      </c>
      <c r="H9">
        <v>2.5</v>
      </c>
      <c r="I9">
        <v>170</v>
      </c>
      <c r="J9" t="str" cm="1">
        <f t="array" ref="J9">_xlfn.IFS(I9&lt;120, "Weak", I9&lt;=200, "Moderate", I9&lt;=300, "Powerful", I9&gt;300, "Super")</f>
        <v>Moderate</v>
      </c>
      <c r="K9">
        <v>107.3</v>
      </c>
      <c r="L9">
        <v>68.400000000000006</v>
      </c>
      <c r="M9">
        <v>176</v>
      </c>
      <c r="N9">
        <v>3.1789999999999998</v>
      </c>
      <c r="O9">
        <v>16.600000000000001</v>
      </c>
      <c r="P9">
        <v>26</v>
      </c>
      <c r="Q9" s="1">
        <v>40722</v>
      </c>
      <c r="R9">
        <v>71.191206710000003</v>
      </c>
      <c r="T9" s="16" t="s">
        <v>248</v>
      </c>
    </row>
    <row r="10" spans="1:24" x14ac:dyDescent="0.3">
      <c r="A10" t="s">
        <v>26</v>
      </c>
      <c r="B10" s="6" t="s">
        <v>28</v>
      </c>
      <c r="C10" s="6" t="str">
        <f t="shared" si="0"/>
        <v>Low Sales</v>
      </c>
      <c r="D10" s="2">
        <v>9.2309999999999999</v>
      </c>
      <c r="E10" s="11">
        <v>28.675000000000001</v>
      </c>
      <c r="F10" t="s">
        <v>18</v>
      </c>
      <c r="G10">
        <v>33.4</v>
      </c>
      <c r="H10">
        <v>2.8</v>
      </c>
      <c r="I10">
        <v>193</v>
      </c>
      <c r="J10" t="str" cm="1">
        <f t="array" ref="J10">_xlfn.IFS(I10&lt;120, "Weak", I10&lt;=200, "Moderate", I10&lt;=300, "Powerful", I10&gt;300, "Super")</f>
        <v>Moderate</v>
      </c>
      <c r="K10">
        <v>107.3</v>
      </c>
      <c r="L10">
        <v>68.5</v>
      </c>
      <c r="M10">
        <v>176</v>
      </c>
      <c r="N10">
        <v>3.1970000000000001</v>
      </c>
      <c r="O10">
        <v>16.600000000000001</v>
      </c>
      <c r="P10">
        <v>24</v>
      </c>
      <c r="Q10" s="1">
        <v>40937</v>
      </c>
      <c r="R10">
        <v>81.877068559999998</v>
      </c>
      <c r="T10" t="str" cm="1">
        <f t="array" ref="T10">_xlfn.XLOOKUP(1, (A:A="Honda")*(B:B="Civic"), C:C&amp;" | "&amp;G:G&amp;" | "&amp;I:I&amp;"HP")</f>
        <v>High Sales | 12.885 | 106HP</v>
      </c>
    </row>
    <row r="11" spans="1:24" x14ac:dyDescent="0.3">
      <c r="A11" t="s">
        <v>26</v>
      </c>
      <c r="B11" s="6" t="s">
        <v>29</v>
      </c>
      <c r="C11" s="6" t="str">
        <f t="shared" si="0"/>
        <v>Low Sales</v>
      </c>
      <c r="D11" s="2">
        <v>17.527000000000001</v>
      </c>
      <c r="E11" s="11">
        <v>36.125</v>
      </c>
      <c r="F11" t="s">
        <v>18</v>
      </c>
      <c r="G11">
        <v>38.9</v>
      </c>
      <c r="H11">
        <v>2.8</v>
      </c>
      <c r="I11">
        <v>193</v>
      </c>
      <c r="J11" t="str" cm="1">
        <f t="array" ref="J11">_xlfn.IFS(I11&lt;120, "Weak", I11&lt;=200, "Moderate", I11&lt;=300, "Powerful", I11&gt;300, "Super")</f>
        <v>Moderate</v>
      </c>
      <c r="K11">
        <v>111.4</v>
      </c>
      <c r="L11">
        <v>70.900000000000006</v>
      </c>
      <c r="M11">
        <v>188</v>
      </c>
      <c r="N11">
        <v>3.472</v>
      </c>
      <c r="O11">
        <v>18.5</v>
      </c>
      <c r="P11">
        <v>25</v>
      </c>
      <c r="Q11" s="1">
        <v>40637</v>
      </c>
      <c r="R11">
        <v>83.998723799999993</v>
      </c>
    </row>
    <row r="12" spans="1:24" x14ac:dyDescent="0.3">
      <c r="A12" t="s">
        <v>30</v>
      </c>
      <c r="B12" s="6" t="s">
        <v>31</v>
      </c>
      <c r="C12" s="6" t="str">
        <f t="shared" si="0"/>
        <v>High Sales</v>
      </c>
      <c r="D12" s="2">
        <v>91.561000000000007</v>
      </c>
      <c r="E12" s="11">
        <v>12.475</v>
      </c>
      <c r="F12" t="s">
        <v>18</v>
      </c>
      <c r="G12">
        <v>21.975000000000001</v>
      </c>
      <c r="H12">
        <v>3.1</v>
      </c>
      <c r="I12">
        <v>175</v>
      </c>
      <c r="J12" t="str" cm="1">
        <f t="array" ref="J12">_xlfn.IFS(I12&lt;120, "Weak", I12&lt;=200, "Moderate", I12&lt;=300, "Powerful", I12&gt;300, "Super")</f>
        <v>Moderate</v>
      </c>
      <c r="K12">
        <v>109</v>
      </c>
      <c r="L12">
        <v>72.7</v>
      </c>
      <c r="M12">
        <v>194.6</v>
      </c>
      <c r="N12">
        <v>3.3679999999999999</v>
      </c>
      <c r="O12">
        <v>17.5</v>
      </c>
      <c r="P12">
        <v>25</v>
      </c>
      <c r="Q12" s="1">
        <v>40849</v>
      </c>
      <c r="R12">
        <v>71.181451319999994</v>
      </c>
    </row>
    <row r="13" spans="1:24" x14ac:dyDescent="0.3">
      <c r="A13" t="s">
        <v>30</v>
      </c>
      <c r="B13" s="6" t="s">
        <v>32</v>
      </c>
      <c r="C13" s="6" t="str">
        <f t="shared" si="0"/>
        <v>High Sales</v>
      </c>
      <c r="D13" s="2">
        <v>39.35</v>
      </c>
      <c r="E13" s="11">
        <v>13.74</v>
      </c>
      <c r="F13" t="s">
        <v>18</v>
      </c>
      <c r="G13">
        <v>25.3</v>
      </c>
      <c r="H13">
        <v>3.8</v>
      </c>
      <c r="I13">
        <v>240</v>
      </c>
      <c r="J13" t="str" cm="1">
        <f t="array" ref="J13">_xlfn.IFS(I13&lt;120, "Weak", I13&lt;=200, "Moderate", I13&lt;=300, "Powerful", I13&gt;300, "Super")</f>
        <v>Powerful</v>
      </c>
      <c r="K13">
        <v>109</v>
      </c>
      <c r="L13">
        <v>72.7</v>
      </c>
      <c r="M13">
        <v>196.2</v>
      </c>
      <c r="N13">
        <v>3.5430000000000001</v>
      </c>
      <c r="O13">
        <v>17.5</v>
      </c>
      <c r="P13">
        <v>23</v>
      </c>
      <c r="Q13" s="1">
        <v>40789</v>
      </c>
      <c r="R13">
        <v>95.636702529999994</v>
      </c>
    </row>
    <row r="14" spans="1:24" x14ac:dyDescent="0.3">
      <c r="A14" t="s">
        <v>30</v>
      </c>
      <c r="B14" s="6" t="s">
        <v>33</v>
      </c>
      <c r="C14" s="6" t="str">
        <f t="shared" si="0"/>
        <v>High Sales</v>
      </c>
      <c r="D14" s="2">
        <v>27.850999999999999</v>
      </c>
      <c r="E14" s="11">
        <v>20.190000000000001</v>
      </c>
      <c r="F14" t="s">
        <v>18</v>
      </c>
      <c r="G14">
        <v>31.965</v>
      </c>
      <c r="H14">
        <v>3.8</v>
      </c>
      <c r="I14">
        <v>205</v>
      </c>
      <c r="J14" t="str" cm="1">
        <f t="array" ref="J14">_xlfn.IFS(I14&lt;120, "Weak", I14&lt;=200, "Moderate", I14&lt;=300, "Powerful", I14&gt;300, "Super")</f>
        <v>Powerful</v>
      </c>
      <c r="K14">
        <v>113.8</v>
      </c>
      <c r="L14">
        <v>74.7</v>
      </c>
      <c r="M14">
        <v>206.8</v>
      </c>
      <c r="N14">
        <v>3.778</v>
      </c>
      <c r="O14">
        <v>18.5</v>
      </c>
      <c r="P14">
        <v>24</v>
      </c>
      <c r="Q14" s="1">
        <v>40991</v>
      </c>
      <c r="R14">
        <v>85.828408249999995</v>
      </c>
    </row>
    <row r="15" spans="1:24" x14ac:dyDescent="0.3">
      <c r="A15" t="s">
        <v>30</v>
      </c>
      <c r="B15" s="6" t="s">
        <v>34</v>
      </c>
      <c r="C15" s="6" t="str">
        <f t="shared" si="0"/>
        <v>High Sales</v>
      </c>
      <c r="D15" s="2">
        <v>83.257000000000005</v>
      </c>
      <c r="E15" s="11">
        <v>13.36</v>
      </c>
      <c r="F15" t="s">
        <v>18</v>
      </c>
      <c r="G15">
        <v>27.885000000000002</v>
      </c>
      <c r="H15">
        <v>3.8</v>
      </c>
      <c r="I15">
        <v>205</v>
      </c>
      <c r="J15" t="str" cm="1">
        <f t="array" ref="J15">_xlfn.IFS(I15&lt;120, "Weak", I15&lt;=200, "Moderate", I15&lt;=300, "Powerful", I15&gt;300, "Super")</f>
        <v>Powerful</v>
      </c>
      <c r="K15">
        <v>112.2</v>
      </c>
      <c r="L15">
        <v>73.5</v>
      </c>
      <c r="M15">
        <v>200</v>
      </c>
      <c r="N15">
        <v>3.5910000000000002</v>
      </c>
      <c r="O15">
        <v>17.5</v>
      </c>
      <c r="P15">
        <v>25</v>
      </c>
      <c r="Q15" s="1">
        <v>40747</v>
      </c>
      <c r="R15">
        <v>84.254525810000004</v>
      </c>
    </row>
    <row r="16" spans="1:24" x14ac:dyDescent="0.3">
      <c r="A16" t="s">
        <v>35</v>
      </c>
      <c r="B16" s="6" t="s">
        <v>36</v>
      </c>
      <c r="C16" s="6" t="str">
        <f t="shared" si="0"/>
        <v>High Sales</v>
      </c>
      <c r="D16" s="2">
        <v>63.728999999999999</v>
      </c>
      <c r="E16" s="11">
        <v>22.524999999999999</v>
      </c>
      <c r="F16" t="s">
        <v>18</v>
      </c>
      <c r="G16">
        <v>39.895000000000003</v>
      </c>
      <c r="H16">
        <v>4.5999999999999996</v>
      </c>
      <c r="I16">
        <v>275</v>
      </c>
      <c r="J16" t="str" cm="1">
        <f t="array" ref="J16">_xlfn.IFS(I16&lt;120, "Weak", I16&lt;=200, "Moderate", I16&lt;=300, "Powerful", I16&gt;300, "Super")</f>
        <v>Powerful</v>
      </c>
      <c r="K16">
        <v>115.3</v>
      </c>
      <c r="L16">
        <v>74.5</v>
      </c>
      <c r="M16">
        <v>207.2</v>
      </c>
      <c r="N16">
        <v>3.9780000000000002</v>
      </c>
      <c r="O16">
        <v>18.5</v>
      </c>
      <c r="P16">
        <v>22</v>
      </c>
      <c r="Q16" s="1">
        <v>40962</v>
      </c>
      <c r="R16">
        <v>113.85459760000001</v>
      </c>
    </row>
    <row r="17" spans="1:18" x14ac:dyDescent="0.3">
      <c r="A17" t="s">
        <v>35</v>
      </c>
      <c r="B17" s="6" t="s">
        <v>37</v>
      </c>
      <c r="C17" s="6" t="str">
        <f t="shared" si="0"/>
        <v>Low Sales</v>
      </c>
      <c r="D17" s="2">
        <v>15.943</v>
      </c>
      <c r="E17" s="11">
        <v>27.1</v>
      </c>
      <c r="F17" t="s">
        <v>18</v>
      </c>
      <c r="G17">
        <v>44.475000000000001</v>
      </c>
      <c r="H17">
        <v>4.5999999999999996</v>
      </c>
      <c r="I17">
        <v>275</v>
      </c>
      <c r="J17" t="str" cm="1">
        <f t="array" ref="J17">_xlfn.IFS(I17&lt;120, "Weak", I17&lt;=200, "Moderate", I17&lt;=300, "Powerful", I17&gt;300, "Super")</f>
        <v>Powerful</v>
      </c>
      <c r="K17">
        <v>112.2</v>
      </c>
      <c r="L17">
        <v>75</v>
      </c>
      <c r="M17">
        <v>201</v>
      </c>
      <c r="O17">
        <v>18.5</v>
      </c>
      <c r="P17">
        <v>22</v>
      </c>
      <c r="Q17" s="1">
        <v>40662</v>
      </c>
      <c r="R17">
        <v>115.6213578</v>
      </c>
    </row>
    <row r="18" spans="1:18" x14ac:dyDescent="0.3">
      <c r="A18" t="s">
        <v>35</v>
      </c>
      <c r="B18" s="6" t="s">
        <v>38</v>
      </c>
      <c r="C18" s="6" t="str">
        <f t="shared" si="0"/>
        <v>Low Sales</v>
      </c>
      <c r="D18" s="2">
        <v>6.5359999999999996</v>
      </c>
      <c r="E18" s="11">
        <v>25.725000000000001</v>
      </c>
      <c r="F18" t="s">
        <v>18</v>
      </c>
      <c r="G18">
        <v>39.664999999999999</v>
      </c>
      <c r="H18">
        <v>4.5999999999999996</v>
      </c>
      <c r="I18">
        <v>275</v>
      </c>
      <c r="J18" t="str" cm="1">
        <f t="array" ref="J18">_xlfn.IFS(I18&lt;120, "Weak", I18&lt;=200, "Moderate", I18&lt;=300, "Powerful", I18&gt;300, "Super")</f>
        <v>Powerful</v>
      </c>
      <c r="K18">
        <v>108</v>
      </c>
      <c r="L18">
        <v>75.5</v>
      </c>
      <c r="M18">
        <v>200.6</v>
      </c>
      <c r="N18">
        <v>3.843</v>
      </c>
      <c r="O18">
        <v>19</v>
      </c>
      <c r="P18">
        <v>22</v>
      </c>
      <c r="Q18" s="1">
        <v>40874</v>
      </c>
      <c r="R18">
        <v>113.7658739</v>
      </c>
    </row>
    <row r="19" spans="1:18" x14ac:dyDescent="0.3">
      <c r="A19" t="s">
        <v>35</v>
      </c>
      <c r="B19" s="6" t="s">
        <v>39</v>
      </c>
      <c r="C19" s="6" t="str">
        <f t="shared" si="0"/>
        <v>Low Sales</v>
      </c>
      <c r="D19" s="2">
        <v>11.185</v>
      </c>
      <c r="E19" s="11">
        <v>18.225000000000001</v>
      </c>
      <c r="F19" t="s">
        <v>18</v>
      </c>
      <c r="G19">
        <v>31.01</v>
      </c>
      <c r="H19">
        <v>3</v>
      </c>
      <c r="I19">
        <v>200</v>
      </c>
      <c r="J19" t="str" cm="1">
        <f t="array" ref="J19">_xlfn.IFS(I19&lt;120, "Weak", I19&lt;=200, "Moderate", I19&lt;=300, "Powerful", I19&gt;300, "Super")</f>
        <v>Moderate</v>
      </c>
      <c r="K19">
        <v>107.4</v>
      </c>
      <c r="L19">
        <v>70.3</v>
      </c>
      <c r="M19">
        <v>194.8</v>
      </c>
      <c r="N19">
        <v>3.77</v>
      </c>
      <c r="O19">
        <v>18</v>
      </c>
      <c r="P19">
        <v>22</v>
      </c>
      <c r="Q19" s="1">
        <v>40814</v>
      </c>
      <c r="R19">
        <v>83.483093580000002</v>
      </c>
    </row>
    <row r="20" spans="1:18" x14ac:dyDescent="0.3">
      <c r="A20" t="s">
        <v>35</v>
      </c>
      <c r="B20" s="6" t="s">
        <v>40</v>
      </c>
      <c r="C20" s="6" t="str">
        <f t="shared" si="0"/>
        <v>Low Sales</v>
      </c>
      <c r="D20" s="2">
        <v>14.785</v>
      </c>
      <c r="E20" s="11"/>
      <c r="F20" t="s">
        <v>41</v>
      </c>
      <c r="G20">
        <v>46.225000000000001</v>
      </c>
      <c r="H20">
        <v>5.7</v>
      </c>
      <c r="I20">
        <v>255</v>
      </c>
      <c r="J20" t="str" cm="1">
        <f t="array" ref="J20">_xlfn.IFS(I20&lt;120, "Weak", I20&lt;=200, "Moderate", I20&lt;=300, "Powerful", I20&gt;300, "Super")</f>
        <v>Powerful</v>
      </c>
      <c r="K20">
        <v>117.5</v>
      </c>
      <c r="L20">
        <v>77</v>
      </c>
      <c r="M20">
        <v>201.2</v>
      </c>
      <c r="N20">
        <v>5.5720000000000001</v>
      </c>
      <c r="O20">
        <v>30</v>
      </c>
      <c r="P20">
        <v>15</v>
      </c>
      <c r="Q20" s="1">
        <v>41016</v>
      </c>
      <c r="R20">
        <v>109.5091165</v>
      </c>
    </row>
    <row r="21" spans="1:18" x14ac:dyDescent="0.3">
      <c r="A21" t="s">
        <v>42</v>
      </c>
      <c r="B21" s="6" t="s">
        <v>43</v>
      </c>
      <c r="C21" s="6" t="str">
        <f t="shared" si="0"/>
        <v>High Sales</v>
      </c>
      <c r="D21" s="2">
        <v>145.51900000000001</v>
      </c>
      <c r="E21" s="11">
        <v>9.25</v>
      </c>
      <c r="F21" t="s">
        <v>18</v>
      </c>
      <c r="G21">
        <v>13.26</v>
      </c>
      <c r="H21">
        <v>2.2000000000000002</v>
      </c>
      <c r="I21">
        <v>115</v>
      </c>
      <c r="J21" t="str" cm="1">
        <f t="array" ref="J21">_xlfn.IFS(I21&lt;120, "Weak", I21&lt;=200, "Moderate", I21&lt;=300, "Powerful", I21&gt;300, "Super")</f>
        <v>Weak</v>
      </c>
      <c r="K21">
        <v>104.1</v>
      </c>
      <c r="L21">
        <v>67.900000000000006</v>
      </c>
      <c r="M21">
        <v>180.9</v>
      </c>
      <c r="N21">
        <v>2.6760000000000002</v>
      </c>
      <c r="O21">
        <v>14.3</v>
      </c>
      <c r="P21">
        <v>27</v>
      </c>
      <c r="Q21" s="1">
        <v>40772</v>
      </c>
      <c r="R21">
        <v>46.363347470000001</v>
      </c>
    </row>
    <row r="22" spans="1:18" x14ac:dyDescent="0.3">
      <c r="A22" t="s">
        <v>42</v>
      </c>
      <c r="B22" s="6" t="s">
        <v>44</v>
      </c>
      <c r="C22" s="6" t="str">
        <f t="shared" si="0"/>
        <v>High Sales</v>
      </c>
      <c r="D22" s="2">
        <v>135.126</v>
      </c>
      <c r="E22" s="11">
        <v>11.225</v>
      </c>
      <c r="F22" t="s">
        <v>18</v>
      </c>
      <c r="G22">
        <v>16.535</v>
      </c>
      <c r="H22">
        <v>3.1</v>
      </c>
      <c r="I22">
        <v>170</v>
      </c>
      <c r="J22" t="str" cm="1">
        <f t="array" ref="J22">_xlfn.IFS(I22&lt;120, "Weak", I22&lt;=200, "Moderate", I22&lt;=300, "Powerful", I22&gt;300, "Super")</f>
        <v>Moderate</v>
      </c>
      <c r="K22">
        <v>107</v>
      </c>
      <c r="L22">
        <v>69.400000000000006</v>
      </c>
      <c r="M22">
        <v>190.4</v>
      </c>
      <c r="N22">
        <v>3.0510000000000002</v>
      </c>
      <c r="O22">
        <v>15</v>
      </c>
      <c r="P22">
        <v>25</v>
      </c>
      <c r="Q22" s="1">
        <v>40987</v>
      </c>
      <c r="R22">
        <v>67.314462160000005</v>
      </c>
    </row>
    <row r="23" spans="1:18" x14ac:dyDescent="0.3">
      <c r="A23" t="s">
        <v>42</v>
      </c>
      <c r="B23" s="6" t="s">
        <v>45</v>
      </c>
      <c r="C23" s="6" t="str">
        <f t="shared" si="0"/>
        <v>High Sales</v>
      </c>
      <c r="D23" s="2">
        <v>24.629000000000001</v>
      </c>
      <c r="E23" s="11">
        <v>10.31</v>
      </c>
      <c r="F23" t="s">
        <v>18</v>
      </c>
      <c r="G23">
        <v>18.89</v>
      </c>
      <c r="H23">
        <v>3.1</v>
      </c>
      <c r="I23">
        <v>175</v>
      </c>
      <c r="J23" t="str" cm="1">
        <f t="array" ref="J23">_xlfn.IFS(I23&lt;120, "Weak", I23&lt;=200, "Moderate", I23&lt;=300, "Powerful", I23&gt;300, "Super")</f>
        <v>Moderate</v>
      </c>
      <c r="K23">
        <v>107.5</v>
      </c>
      <c r="L23">
        <v>72.5</v>
      </c>
      <c r="M23">
        <v>200.9</v>
      </c>
      <c r="N23">
        <v>3.33</v>
      </c>
      <c r="O23">
        <v>16.600000000000001</v>
      </c>
      <c r="P23">
        <v>25</v>
      </c>
      <c r="Q23" s="1">
        <v>40687</v>
      </c>
      <c r="R23">
        <v>69.991395600000004</v>
      </c>
    </row>
    <row r="24" spans="1:18" x14ac:dyDescent="0.3">
      <c r="A24" t="s">
        <v>42</v>
      </c>
      <c r="B24" s="6" t="s">
        <v>46</v>
      </c>
      <c r="C24" s="6" t="str">
        <f t="shared" si="0"/>
        <v>High Sales</v>
      </c>
      <c r="D24" s="2">
        <v>42.593000000000004</v>
      </c>
      <c r="E24" s="11">
        <v>11.525</v>
      </c>
      <c r="F24" t="s">
        <v>18</v>
      </c>
      <c r="G24">
        <v>19.39</v>
      </c>
      <c r="H24">
        <v>3.4</v>
      </c>
      <c r="I24">
        <v>180</v>
      </c>
      <c r="J24" t="str" cm="1">
        <f t="array" ref="J24">_xlfn.IFS(I24&lt;120, "Weak", I24&lt;=200, "Moderate", I24&lt;=300, "Powerful", I24&gt;300, "Super")</f>
        <v>Moderate</v>
      </c>
      <c r="K24">
        <v>110.5</v>
      </c>
      <c r="L24">
        <v>72.7</v>
      </c>
      <c r="M24">
        <v>197.9</v>
      </c>
      <c r="N24">
        <v>3.34</v>
      </c>
      <c r="O24">
        <v>17</v>
      </c>
      <c r="P24">
        <v>27</v>
      </c>
      <c r="Q24" s="1">
        <v>40899</v>
      </c>
      <c r="R24">
        <v>72.030917189999997</v>
      </c>
    </row>
    <row r="25" spans="1:18" x14ac:dyDescent="0.3">
      <c r="A25" t="s">
        <v>42</v>
      </c>
      <c r="B25" s="6" t="s">
        <v>47</v>
      </c>
      <c r="C25" s="6" t="str">
        <f t="shared" si="0"/>
        <v>High Sales</v>
      </c>
      <c r="D25" s="2">
        <v>26.402000000000001</v>
      </c>
      <c r="E25" s="11">
        <v>13.025</v>
      </c>
      <c r="F25" t="s">
        <v>18</v>
      </c>
      <c r="G25">
        <v>24.34</v>
      </c>
      <c r="H25">
        <v>3.8</v>
      </c>
      <c r="I25">
        <v>200</v>
      </c>
      <c r="J25" t="str" cm="1">
        <f t="array" ref="J25">_xlfn.IFS(I25&lt;120, "Weak", I25&lt;=200, "Moderate", I25&lt;=300, "Powerful", I25&gt;300, "Super")</f>
        <v>Moderate</v>
      </c>
      <c r="K25">
        <v>101.1</v>
      </c>
      <c r="L25">
        <v>74.099999999999994</v>
      </c>
      <c r="M25">
        <v>193.2</v>
      </c>
      <c r="N25">
        <v>3.5</v>
      </c>
      <c r="O25">
        <v>16.8</v>
      </c>
      <c r="P25">
        <v>25</v>
      </c>
      <c r="Q25" s="1">
        <v>40839</v>
      </c>
      <c r="R25">
        <v>81.118543329999994</v>
      </c>
    </row>
    <row r="26" spans="1:18" x14ac:dyDescent="0.3">
      <c r="A26" t="s">
        <v>42</v>
      </c>
      <c r="B26" s="6" t="s">
        <v>48</v>
      </c>
      <c r="C26" s="6" t="str">
        <f t="shared" si="0"/>
        <v>Low Sales</v>
      </c>
      <c r="D26" s="2">
        <v>17.946999999999999</v>
      </c>
      <c r="E26" s="11">
        <v>36.225000000000001</v>
      </c>
      <c r="F26" t="s">
        <v>18</v>
      </c>
      <c r="G26">
        <v>45.704999999999998</v>
      </c>
      <c r="H26">
        <v>5.7</v>
      </c>
      <c r="I26">
        <v>345</v>
      </c>
      <c r="J26" t="str" cm="1">
        <f t="array" ref="J26">_xlfn.IFS(I26&lt;120, "Weak", I26&lt;=200, "Moderate", I26&lt;=300, "Powerful", I26&gt;300, "Super")</f>
        <v>Super</v>
      </c>
      <c r="K26">
        <v>104.5</v>
      </c>
      <c r="L26">
        <v>73.599999999999994</v>
      </c>
      <c r="M26">
        <v>179.7</v>
      </c>
      <c r="N26">
        <v>3.21</v>
      </c>
      <c r="O26">
        <v>19.100000000000001</v>
      </c>
      <c r="P26">
        <v>22</v>
      </c>
      <c r="Q26" s="1">
        <v>41041</v>
      </c>
      <c r="R26">
        <v>141.14115000000001</v>
      </c>
    </row>
    <row r="27" spans="1:18" x14ac:dyDescent="0.3">
      <c r="A27" t="s">
        <v>42</v>
      </c>
      <c r="B27" s="6" t="s">
        <v>49</v>
      </c>
      <c r="C27" s="6" t="str">
        <f t="shared" si="0"/>
        <v>High Sales</v>
      </c>
      <c r="D27" s="2">
        <v>32.298999999999999</v>
      </c>
      <c r="E27" s="11">
        <v>9.125</v>
      </c>
      <c r="F27" t="s">
        <v>18</v>
      </c>
      <c r="G27">
        <v>13.96</v>
      </c>
      <c r="H27">
        <v>1.8</v>
      </c>
      <c r="I27">
        <v>120</v>
      </c>
      <c r="J27" t="str" cm="1">
        <f t="array" ref="J27">_xlfn.IFS(I27&lt;120, "Weak", I27&lt;=200, "Moderate", I27&lt;=300, "Powerful", I27&gt;300, "Super")</f>
        <v>Moderate</v>
      </c>
      <c r="K27">
        <v>97.1</v>
      </c>
      <c r="L27">
        <v>66.7</v>
      </c>
      <c r="M27">
        <v>174.3</v>
      </c>
      <c r="N27">
        <v>2.3980000000000001</v>
      </c>
      <c r="O27">
        <v>13.2</v>
      </c>
      <c r="P27">
        <v>33</v>
      </c>
      <c r="Q27" s="1">
        <v>40797</v>
      </c>
      <c r="R27">
        <v>48.297636099999998</v>
      </c>
    </row>
    <row r="28" spans="1:18" x14ac:dyDescent="0.3">
      <c r="A28" t="s">
        <v>42</v>
      </c>
      <c r="B28" s="6" t="s">
        <v>50</v>
      </c>
      <c r="C28" s="6" t="str">
        <f t="shared" si="0"/>
        <v>High Sales</v>
      </c>
      <c r="D28" s="2">
        <v>21.855</v>
      </c>
      <c r="E28" s="11">
        <v>5.16</v>
      </c>
      <c r="F28" t="s">
        <v>18</v>
      </c>
      <c r="G28">
        <v>9.2349999999999994</v>
      </c>
      <c r="H28">
        <v>1</v>
      </c>
      <c r="I28">
        <v>55</v>
      </c>
      <c r="J28" t="str" cm="1">
        <f t="array" ref="J28">_xlfn.IFS(I28&lt;120, "Weak", I28&lt;=200, "Moderate", I28&lt;=300, "Powerful", I28&gt;300, "Super")</f>
        <v>Weak</v>
      </c>
      <c r="K28">
        <v>93.1</v>
      </c>
      <c r="L28">
        <v>62.6</v>
      </c>
      <c r="M28">
        <v>149.4</v>
      </c>
      <c r="N28">
        <v>1.895</v>
      </c>
      <c r="O28">
        <v>10.3</v>
      </c>
      <c r="P28">
        <v>45</v>
      </c>
      <c r="Q28" s="1">
        <v>41012</v>
      </c>
      <c r="R28">
        <v>23.276272330000001</v>
      </c>
    </row>
    <row r="29" spans="1:18" x14ac:dyDescent="0.3">
      <c r="A29" t="s">
        <v>42</v>
      </c>
      <c r="B29" s="6" t="s">
        <v>51</v>
      </c>
      <c r="C29" s="6" t="str">
        <f t="shared" si="0"/>
        <v>High Sales</v>
      </c>
      <c r="D29" s="2">
        <v>107.995</v>
      </c>
      <c r="E29" s="11"/>
      <c r="F29" t="s">
        <v>18</v>
      </c>
      <c r="G29">
        <v>18.89</v>
      </c>
      <c r="H29">
        <v>3.4</v>
      </c>
      <c r="I29">
        <v>180</v>
      </c>
      <c r="J29" t="str" cm="1">
        <f t="array" ref="J29">_xlfn.IFS(I29&lt;120, "Weak", I29&lt;=200, "Moderate", I29&lt;=300, "Powerful", I29&gt;300, "Super")</f>
        <v>Moderate</v>
      </c>
      <c r="K29">
        <v>110.5</v>
      </c>
      <c r="L29">
        <v>73</v>
      </c>
      <c r="M29">
        <v>200</v>
      </c>
      <c r="N29">
        <v>3.3889999999999998</v>
      </c>
      <c r="O29">
        <v>17</v>
      </c>
      <c r="P29">
        <v>27</v>
      </c>
      <c r="Q29" s="1">
        <v>40712</v>
      </c>
      <c r="R29">
        <v>71.838039440000003</v>
      </c>
    </row>
    <row r="30" spans="1:18" x14ac:dyDescent="0.3">
      <c r="A30" t="s">
        <v>52</v>
      </c>
      <c r="B30" s="6" t="s">
        <v>53</v>
      </c>
      <c r="C30" s="6" t="str">
        <f t="shared" si="0"/>
        <v>Low Sales</v>
      </c>
      <c r="D30" s="2">
        <v>7.8540000000000001</v>
      </c>
      <c r="E30" s="11">
        <v>12.36</v>
      </c>
      <c r="F30" t="s">
        <v>18</v>
      </c>
      <c r="G30">
        <v>19.84</v>
      </c>
      <c r="H30">
        <v>2.5</v>
      </c>
      <c r="I30">
        <v>163</v>
      </c>
      <c r="J30" t="str" cm="1">
        <f t="array" ref="J30">_xlfn.IFS(I30&lt;120, "Weak", I30&lt;=200, "Moderate", I30&lt;=300, "Powerful", I30&gt;300, "Super")</f>
        <v>Moderate</v>
      </c>
      <c r="K30">
        <v>103.7</v>
      </c>
      <c r="L30">
        <v>69.7</v>
      </c>
      <c r="M30">
        <v>190.9</v>
      </c>
      <c r="N30">
        <v>2.9670000000000001</v>
      </c>
      <c r="O30">
        <v>15.9</v>
      </c>
      <c r="P30">
        <v>24</v>
      </c>
      <c r="Q30" s="1">
        <v>40924</v>
      </c>
      <c r="R30">
        <v>65.957183959999995</v>
      </c>
    </row>
    <row r="31" spans="1:18" x14ac:dyDescent="0.3">
      <c r="A31" t="s">
        <v>52</v>
      </c>
      <c r="B31" s="6" t="s">
        <v>54</v>
      </c>
      <c r="C31" s="6" t="str">
        <f t="shared" si="0"/>
        <v>High Sales</v>
      </c>
      <c r="D31" s="2">
        <v>32.774999999999999</v>
      </c>
      <c r="E31" s="11">
        <v>14.18</v>
      </c>
      <c r="F31" t="s">
        <v>18</v>
      </c>
      <c r="G31">
        <v>24.495000000000001</v>
      </c>
      <c r="H31">
        <v>2.5</v>
      </c>
      <c r="I31">
        <v>168</v>
      </c>
      <c r="J31" t="str" cm="1">
        <f t="array" ref="J31">_xlfn.IFS(I31&lt;120, "Weak", I31&lt;=200, "Moderate", I31&lt;=300, "Powerful", I31&gt;300, "Super")</f>
        <v>Moderate</v>
      </c>
      <c r="K31">
        <v>106</v>
      </c>
      <c r="L31">
        <v>69.2</v>
      </c>
      <c r="M31">
        <v>193</v>
      </c>
      <c r="N31">
        <v>3.3319999999999999</v>
      </c>
      <c r="O31">
        <v>16</v>
      </c>
      <c r="P31">
        <v>24</v>
      </c>
      <c r="Q31" s="1">
        <v>40864</v>
      </c>
      <c r="R31">
        <v>69.521355049999997</v>
      </c>
    </row>
    <row r="32" spans="1:18" x14ac:dyDescent="0.3">
      <c r="A32" t="s">
        <v>52</v>
      </c>
      <c r="B32" s="6" t="s">
        <v>55</v>
      </c>
      <c r="C32" s="6" t="str">
        <f t="shared" si="0"/>
        <v>High Sales</v>
      </c>
      <c r="D32" s="2">
        <v>31.148</v>
      </c>
      <c r="E32" s="11">
        <v>13.725</v>
      </c>
      <c r="F32" t="s">
        <v>18</v>
      </c>
      <c r="G32">
        <v>22.245000000000001</v>
      </c>
      <c r="H32">
        <v>2.7</v>
      </c>
      <c r="I32">
        <v>200</v>
      </c>
      <c r="J32" t="str" cm="1">
        <f t="array" ref="J32">_xlfn.IFS(I32&lt;120, "Weak", I32&lt;=200, "Moderate", I32&lt;=300, "Powerful", I32&gt;300, "Super")</f>
        <v>Moderate</v>
      </c>
      <c r="K32">
        <v>113</v>
      </c>
      <c r="L32">
        <v>74.400000000000006</v>
      </c>
      <c r="M32">
        <v>209.1</v>
      </c>
      <c r="N32">
        <v>3.452</v>
      </c>
      <c r="O32">
        <v>17</v>
      </c>
      <c r="P32">
        <v>26</v>
      </c>
      <c r="Q32" s="1">
        <v>41066</v>
      </c>
      <c r="R32">
        <v>80.02378204</v>
      </c>
    </row>
    <row r="33" spans="1:18" x14ac:dyDescent="0.3">
      <c r="A33" t="s">
        <v>52</v>
      </c>
      <c r="B33" s="6" t="s">
        <v>56</v>
      </c>
      <c r="C33" s="6" t="str">
        <f t="shared" si="0"/>
        <v>High Sales</v>
      </c>
      <c r="D33" s="2">
        <v>32.305999999999997</v>
      </c>
      <c r="E33" s="11">
        <v>12.64</v>
      </c>
      <c r="F33" t="s">
        <v>18</v>
      </c>
      <c r="G33">
        <v>16.48</v>
      </c>
      <c r="H33">
        <v>2</v>
      </c>
      <c r="I33">
        <v>132</v>
      </c>
      <c r="J33" t="str" cm="1">
        <f t="array" ref="J33">_xlfn.IFS(I33&lt;120, "Weak", I33&lt;=200, "Moderate", I33&lt;=300, "Powerful", I33&gt;300, "Super")</f>
        <v>Moderate</v>
      </c>
      <c r="K33">
        <v>108</v>
      </c>
      <c r="L33">
        <v>71</v>
      </c>
      <c r="M33">
        <v>186</v>
      </c>
      <c r="N33">
        <v>2.911</v>
      </c>
      <c r="O33">
        <v>16</v>
      </c>
      <c r="P33">
        <v>27</v>
      </c>
      <c r="Q33" s="1">
        <v>40822</v>
      </c>
      <c r="R33">
        <v>53.566199869999998</v>
      </c>
    </row>
    <row r="34" spans="1:18" x14ac:dyDescent="0.3">
      <c r="A34" t="s">
        <v>52</v>
      </c>
      <c r="B34" s="6" t="s">
        <v>57</v>
      </c>
      <c r="C34" s="6" t="str">
        <f t="shared" si="0"/>
        <v>Low Sales</v>
      </c>
      <c r="D34" s="2">
        <v>13.462</v>
      </c>
      <c r="E34" s="11">
        <v>17.324999999999999</v>
      </c>
      <c r="F34" t="s">
        <v>18</v>
      </c>
      <c r="G34">
        <v>28.34</v>
      </c>
      <c r="H34">
        <v>3.5</v>
      </c>
      <c r="I34">
        <v>253</v>
      </c>
      <c r="J34" t="str" cm="1">
        <f t="array" ref="J34">_xlfn.IFS(I34&lt;120, "Weak", I34&lt;=200, "Moderate", I34&lt;=300, "Powerful", I34&gt;300, "Super")</f>
        <v>Powerful</v>
      </c>
      <c r="K34">
        <v>113</v>
      </c>
      <c r="L34">
        <v>74.400000000000006</v>
      </c>
      <c r="M34">
        <v>207.7</v>
      </c>
      <c r="N34">
        <v>3.5640000000000001</v>
      </c>
      <c r="O34">
        <v>17</v>
      </c>
      <c r="P34">
        <v>23</v>
      </c>
      <c r="Q34" s="1">
        <v>41037</v>
      </c>
      <c r="R34">
        <v>101.3292807</v>
      </c>
    </row>
    <row r="35" spans="1:18" x14ac:dyDescent="0.3">
      <c r="A35" t="s">
        <v>52</v>
      </c>
      <c r="B35" s="6" t="s">
        <v>58</v>
      </c>
      <c r="C35" s="6" t="str">
        <f t="shared" si="0"/>
        <v>High Sales</v>
      </c>
      <c r="D35" s="2">
        <v>53.48</v>
      </c>
      <c r="E35" s="11">
        <v>19.54</v>
      </c>
      <c r="F35" t="s">
        <v>41</v>
      </c>
      <c r="J35" t="str" cm="1">
        <f t="array" ref="J35">_xlfn.IFS(I35&lt;120, "Weak", I35&lt;=200, "Moderate", I35&lt;=300, "Powerful", I35&gt;300, "Super")</f>
        <v>Weak</v>
      </c>
      <c r="Q35" s="1">
        <v>40737</v>
      </c>
    </row>
    <row r="36" spans="1:18" x14ac:dyDescent="0.3">
      <c r="A36" t="s">
        <v>52</v>
      </c>
      <c r="B36" s="6" t="s">
        <v>59</v>
      </c>
      <c r="C36" s="6" t="str">
        <f t="shared" si="0"/>
        <v>High Sales</v>
      </c>
      <c r="D36" s="2">
        <v>30.696000000000002</v>
      </c>
      <c r="E36" s="11"/>
      <c r="F36" t="s">
        <v>18</v>
      </c>
      <c r="G36">
        <v>29.184999999999999</v>
      </c>
      <c r="H36">
        <v>3.5</v>
      </c>
      <c r="I36">
        <v>253</v>
      </c>
      <c r="J36" t="str" cm="1">
        <f t="array" ref="J36">_xlfn.IFS(I36&lt;120, "Weak", I36&lt;=200, "Moderate", I36&lt;=300, "Powerful", I36&gt;300, "Super")</f>
        <v>Powerful</v>
      </c>
      <c r="K36">
        <v>113</v>
      </c>
      <c r="L36">
        <v>74.400000000000006</v>
      </c>
      <c r="M36">
        <v>197.8</v>
      </c>
      <c r="N36">
        <v>3.5670000000000002</v>
      </c>
      <c r="O36">
        <v>17</v>
      </c>
      <c r="P36">
        <v>23</v>
      </c>
      <c r="Q36" s="1">
        <v>40949</v>
      </c>
      <c r="R36">
        <v>101.6552441</v>
      </c>
    </row>
    <row r="37" spans="1:18" x14ac:dyDescent="0.3">
      <c r="A37" t="s">
        <v>60</v>
      </c>
      <c r="B37" s="6" t="s">
        <v>61</v>
      </c>
      <c r="C37" s="6" t="str">
        <f t="shared" si="0"/>
        <v>High Sales</v>
      </c>
      <c r="D37" s="2">
        <v>76.034000000000006</v>
      </c>
      <c r="E37" s="11">
        <v>7.75</v>
      </c>
      <c r="F37" t="s">
        <v>18</v>
      </c>
      <c r="G37">
        <v>12.64</v>
      </c>
      <c r="H37">
        <v>2</v>
      </c>
      <c r="I37">
        <v>132</v>
      </c>
      <c r="J37" t="str" cm="1">
        <f t="array" ref="J37">_xlfn.IFS(I37&lt;120, "Weak", I37&lt;=200, "Moderate", I37&lt;=300, "Powerful", I37&gt;300, "Super")</f>
        <v>Moderate</v>
      </c>
      <c r="K37">
        <v>105</v>
      </c>
      <c r="L37">
        <v>74.400000000000006</v>
      </c>
      <c r="M37">
        <v>174.4</v>
      </c>
      <c r="N37">
        <v>2.5670000000000002</v>
      </c>
      <c r="O37">
        <v>12.5</v>
      </c>
      <c r="P37">
        <v>29</v>
      </c>
      <c r="Q37" s="1">
        <v>40889</v>
      </c>
      <c r="R37">
        <v>52.084898750000001</v>
      </c>
    </row>
    <row r="38" spans="1:18" x14ac:dyDescent="0.3">
      <c r="A38" t="s">
        <v>60</v>
      </c>
      <c r="B38" s="6" t="s">
        <v>62</v>
      </c>
      <c r="C38" s="6" t="str">
        <f t="shared" si="0"/>
        <v>Low Sales</v>
      </c>
      <c r="D38" s="2">
        <v>4.734</v>
      </c>
      <c r="E38" s="11">
        <v>12.545</v>
      </c>
      <c r="F38" t="s">
        <v>18</v>
      </c>
      <c r="G38">
        <v>19.045000000000002</v>
      </c>
      <c r="H38">
        <v>2.5</v>
      </c>
      <c r="I38">
        <v>163</v>
      </c>
      <c r="J38" t="str" cm="1">
        <f t="array" ref="J38">_xlfn.IFS(I38&lt;120, "Weak", I38&lt;=200, "Moderate", I38&lt;=300, "Powerful", I38&gt;300, "Super")</f>
        <v>Moderate</v>
      </c>
      <c r="K38">
        <v>103.7</v>
      </c>
      <c r="L38">
        <v>69.099999999999994</v>
      </c>
      <c r="M38">
        <v>190.2</v>
      </c>
      <c r="N38">
        <v>2.879</v>
      </c>
      <c r="O38">
        <v>15.9</v>
      </c>
      <c r="P38">
        <v>24</v>
      </c>
      <c r="Q38" s="1">
        <v>41091</v>
      </c>
      <c r="R38">
        <v>65.650508340000002</v>
      </c>
    </row>
    <row r="39" spans="1:18" x14ac:dyDescent="0.3">
      <c r="A39" t="s">
        <v>60</v>
      </c>
      <c r="B39" s="6" t="s">
        <v>63</v>
      </c>
      <c r="C39" s="6" t="str">
        <f t="shared" si="0"/>
        <v>High Sales</v>
      </c>
      <c r="D39" s="2">
        <v>71.186000000000007</v>
      </c>
      <c r="E39" s="11">
        <v>10.185</v>
      </c>
      <c r="F39" t="s">
        <v>18</v>
      </c>
      <c r="G39">
        <v>20.23</v>
      </c>
      <c r="H39">
        <v>2.5</v>
      </c>
      <c r="I39">
        <v>168</v>
      </c>
      <c r="J39" t="str" cm="1">
        <f t="array" ref="J39">_xlfn.IFS(I39&lt;120, "Weak", I39&lt;=200, "Moderate", I39&lt;=300, "Powerful", I39&gt;300, "Super")</f>
        <v>Moderate</v>
      </c>
      <c r="K39">
        <v>108</v>
      </c>
      <c r="L39">
        <v>71</v>
      </c>
      <c r="M39">
        <v>186</v>
      </c>
      <c r="N39">
        <v>3.0579999999999998</v>
      </c>
      <c r="O39">
        <v>16</v>
      </c>
      <c r="P39">
        <v>24</v>
      </c>
      <c r="Q39" s="1">
        <v>40847</v>
      </c>
      <c r="R39">
        <v>67.876107840000003</v>
      </c>
    </row>
    <row r="40" spans="1:18" x14ac:dyDescent="0.3">
      <c r="A40" t="s">
        <v>60</v>
      </c>
      <c r="B40" s="6" t="s">
        <v>64</v>
      </c>
      <c r="C40" s="6" t="str">
        <f t="shared" si="0"/>
        <v>High Sales</v>
      </c>
      <c r="D40" s="2">
        <v>88.028000000000006</v>
      </c>
      <c r="E40" s="11">
        <v>12.275</v>
      </c>
      <c r="F40" t="s">
        <v>18</v>
      </c>
      <c r="G40">
        <v>22.504999999999999</v>
      </c>
      <c r="H40">
        <v>2.7</v>
      </c>
      <c r="I40">
        <v>202</v>
      </c>
      <c r="J40" t="str" cm="1">
        <f t="array" ref="J40">_xlfn.IFS(I40&lt;120, "Weak", I40&lt;=200, "Moderate", I40&lt;=300, "Powerful", I40&gt;300, "Super")</f>
        <v>Powerful</v>
      </c>
      <c r="K40">
        <v>113</v>
      </c>
      <c r="L40">
        <v>74.7</v>
      </c>
      <c r="M40">
        <v>203.7</v>
      </c>
      <c r="N40">
        <v>3.4889999999999999</v>
      </c>
      <c r="O40">
        <v>17</v>
      </c>
      <c r="Q40" s="1">
        <v>41062</v>
      </c>
      <c r="R40">
        <v>80.831470170000003</v>
      </c>
    </row>
    <row r="41" spans="1:18" x14ac:dyDescent="0.3">
      <c r="A41" t="s">
        <v>60</v>
      </c>
      <c r="B41" s="6" t="s">
        <v>65</v>
      </c>
      <c r="C41" s="6" t="str">
        <f t="shared" si="0"/>
        <v>Low Sales</v>
      </c>
      <c r="D41" s="2">
        <v>0.91600000000000004</v>
      </c>
      <c r="E41" s="11">
        <v>58.47</v>
      </c>
      <c r="F41" t="s">
        <v>18</v>
      </c>
      <c r="G41">
        <v>69.724999999999994</v>
      </c>
      <c r="H41">
        <v>8</v>
      </c>
      <c r="I41">
        <v>450</v>
      </c>
      <c r="J41" t="str" cm="1">
        <f t="array" ref="J41">_xlfn.IFS(I41&lt;120, "Weak", I41&lt;=200, "Moderate", I41&lt;=300, "Powerful", I41&gt;300, "Super")</f>
        <v>Super</v>
      </c>
      <c r="K41">
        <v>96.2</v>
      </c>
      <c r="L41">
        <v>75.7</v>
      </c>
      <c r="M41">
        <v>176.7</v>
      </c>
      <c r="N41">
        <v>3.375</v>
      </c>
      <c r="O41">
        <v>19</v>
      </c>
      <c r="P41">
        <v>16</v>
      </c>
      <c r="Q41" s="1">
        <v>40762</v>
      </c>
      <c r="R41">
        <v>188.14432300000001</v>
      </c>
    </row>
    <row r="42" spans="1:18" x14ac:dyDescent="0.3">
      <c r="A42" t="s">
        <v>60</v>
      </c>
      <c r="B42" s="6" t="s">
        <v>66</v>
      </c>
      <c r="C42" s="6" t="str">
        <f t="shared" si="0"/>
        <v>High Sales</v>
      </c>
      <c r="D42" s="2">
        <v>227.06100000000001</v>
      </c>
      <c r="E42" s="11">
        <v>15.06</v>
      </c>
      <c r="F42" t="s">
        <v>41</v>
      </c>
      <c r="G42">
        <v>19.46</v>
      </c>
      <c r="H42">
        <v>5.2</v>
      </c>
      <c r="I42">
        <v>230</v>
      </c>
      <c r="J42" t="str" cm="1">
        <f t="array" ref="J42">_xlfn.IFS(I42&lt;120, "Weak", I42&lt;=200, "Moderate", I42&lt;=300, "Powerful", I42&gt;300, "Super")</f>
        <v>Powerful</v>
      </c>
      <c r="K42">
        <v>138.69999999999999</v>
      </c>
      <c r="L42">
        <v>79.3</v>
      </c>
      <c r="M42">
        <v>224.2</v>
      </c>
      <c r="N42">
        <v>4.47</v>
      </c>
      <c r="O42">
        <v>26</v>
      </c>
      <c r="P42">
        <v>17</v>
      </c>
      <c r="Q42" s="1">
        <v>40974</v>
      </c>
      <c r="R42">
        <v>90.211700050000005</v>
      </c>
    </row>
    <row r="43" spans="1:18" x14ac:dyDescent="0.3">
      <c r="A43" t="s">
        <v>60</v>
      </c>
      <c r="B43" s="6" t="s">
        <v>67</v>
      </c>
      <c r="C43" s="6" t="str">
        <f t="shared" si="0"/>
        <v>Low Sales</v>
      </c>
      <c r="D43" s="2">
        <v>16.766999999999999</v>
      </c>
      <c r="E43" s="11">
        <v>15.51</v>
      </c>
      <c r="F43" t="s">
        <v>41</v>
      </c>
      <c r="G43">
        <v>21.315000000000001</v>
      </c>
      <c r="H43">
        <v>3.9</v>
      </c>
      <c r="I43">
        <v>175</v>
      </c>
      <c r="J43" t="str" cm="1">
        <f t="array" ref="J43">_xlfn.IFS(I43&lt;120, "Weak", I43&lt;=200, "Moderate", I43&lt;=300, "Powerful", I43&gt;300, "Super")</f>
        <v>Moderate</v>
      </c>
      <c r="K43">
        <v>109.6</v>
      </c>
      <c r="L43">
        <v>78.8</v>
      </c>
      <c r="M43">
        <v>192.6</v>
      </c>
      <c r="N43">
        <v>4.2450000000000001</v>
      </c>
      <c r="O43">
        <v>32</v>
      </c>
      <c r="P43">
        <v>15</v>
      </c>
      <c r="Q43" s="1">
        <v>40914</v>
      </c>
      <c r="R43">
        <v>71.135291609999996</v>
      </c>
    </row>
    <row r="44" spans="1:18" x14ac:dyDescent="0.3">
      <c r="A44" t="s">
        <v>60</v>
      </c>
      <c r="B44" s="6" t="s">
        <v>68</v>
      </c>
      <c r="C44" s="6" t="str">
        <f t="shared" si="0"/>
        <v>High Sales</v>
      </c>
      <c r="D44" s="2">
        <v>31.038</v>
      </c>
      <c r="E44" s="11">
        <v>13.425000000000001</v>
      </c>
      <c r="F44" t="s">
        <v>41</v>
      </c>
      <c r="G44">
        <v>18.574999999999999</v>
      </c>
      <c r="H44">
        <v>3.9</v>
      </c>
      <c r="I44">
        <v>175</v>
      </c>
      <c r="J44" t="str" cm="1">
        <f t="array" ref="J44">_xlfn.IFS(I44&lt;120, "Weak", I44&lt;=200, "Moderate", I44&lt;=300, "Powerful", I44&gt;300, "Super")</f>
        <v>Moderate</v>
      </c>
      <c r="K44">
        <v>127.2</v>
      </c>
      <c r="L44">
        <v>78.8</v>
      </c>
      <c r="M44">
        <v>208.5</v>
      </c>
      <c r="N44">
        <v>4.298</v>
      </c>
      <c r="O44">
        <v>32</v>
      </c>
      <c r="P44">
        <v>16</v>
      </c>
      <c r="Q44" s="1">
        <v>41116</v>
      </c>
      <c r="R44">
        <v>70.078321540000005</v>
      </c>
    </row>
    <row r="45" spans="1:18" x14ac:dyDescent="0.3">
      <c r="A45" t="s">
        <v>60</v>
      </c>
      <c r="B45" s="6" t="s">
        <v>69</v>
      </c>
      <c r="C45" s="6" t="str">
        <f t="shared" si="0"/>
        <v>High Sales</v>
      </c>
      <c r="D45" s="2">
        <v>111.313</v>
      </c>
      <c r="E45" s="11">
        <v>11.26</v>
      </c>
      <c r="F45" t="s">
        <v>41</v>
      </c>
      <c r="G45">
        <v>16.98</v>
      </c>
      <c r="H45">
        <v>2.5</v>
      </c>
      <c r="I45">
        <v>120</v>
      </c>
      <c r="J45" t="str" cm="1">
        <f t="array" ref="J45">_xlfn.IFS(I45&lt;120, "Weak", I45&lt;=200, "Moderate", I45&lt;=300, "Powerful", I45&gt;300, "Super")</f>
        <v>Moderate</v>
      </c>
      <c r="K45">
        <v>131</v>
      </c>
      <c r="L45">
        <v>71.5</v>
      </c>
      <c r="M45">
        <v>215</v>
      </c>
      <c r="N45">
        <v>3.5569999999999999</v>
      </c>
      <c r="O45">
        <v>22</v>
      </c>
      <c r="P45">
        <v>19</v>
      </c>
      <c r="Q45" s="1">
        <v>40872</v>
      </c>
      <c r="R45">
        <v>49.64500177</v>
      </c>
    </row>
    <row r="46" spans="1:18" x14ac:dyDescent="0.3">
      <c r="A46" t="s">
        <v>60</v>
      </c>
      <c r="B46" s="6" t="s">
        <v>70</v>
      </c>
      <c r="C46" s="6" t="str">
        <f t="shared" si="0"/>
        <v>High Sales</v>
      </c>
      <c r="D46" s="2">
        <v>101.32299999999999</v>
      </c>
      <c r="E46" s="11"/>
      <c r="F46" t="s">
        <v>41</v>
      </c>
      <c r="G46">
        <v>26.31</v>
      </c>
      <c r="H46">
        <v>5.2</v>
      </c>
      <c r="I46">
        <v>230</v>
      </c>
      <c r="J46" t="str" cm="1">
        <f t="array" ref="J46">_xlfn.IFS(I46&lt;120, "Weak", I46&lt;=200, "Moderate", I46&lt;=300, "Powerful", I46&gt;300, "Super")</f>
        <v>Powerful</v>
      </c>
      <c r="K46">
        <v>115.7</v>
      </c>
      <c r="L46">
        <v>71.7</v>
      </c>
      <c r="M46">
        <v>193.5</v>
      </c>
      <c r="N46">
        <v>4.3940000000000001</v>
      </c>
      <c r="O46">
        <v>25</v>
      </c>
      <c r="P46">
        <v>17</v>
      </c>
      <c r="Q46" s="1">
        <v>41087</v>
      </c>
      <c r="R46">
        <v>92.85412522</v>
      </c>
    </row>
    <row r="47" spans="1:18" x14ac:dyDescent="0.3">
      <c r="A47" t="s">
        <v>60</v>
      </c>
      <c r="B47" s="6" t="s">
        <v>71</v>
      </c>
      <c r="C47" s="6" t="str">
        <f t="shared" si="0"/>
        <v>High Sales</v>
      </c>
      <c r="D47" s="2">
        <v>181.749</v>
      </c>
      <c r="E47" s="11">
        <v>12.025</v>
      </c>
      <c r="F47" t="s">
        <v>41</v>
      </c>
      <c r="G47">
        <v>19.565000000000001</v>
      </c>
      <c r="H47">
        <v>2.4</v>
      </c>
      <c r="I47">
        <v>150</v>
      </c>
      <c r="J47" t="str" cm="1">
        <f t="array" ref="J47">_xlfn.IFS(I47&lt;120, "Weak", I47&lt;=200, "Moderate", I47&lt;=300, "Powerful", I47&gt;300, "Super")</f>
        <v>Moderate</v>
      </c>
      <c r="K47">
        <v>113.3</v>
      </c>
      <c r="L47">
        <v>76.8</v>
      </c>
      <c r="M47">
        <v>186.3</v>
      </c>
      <c r="N47">
        <v>3.5329999999999999</v>
      </c>
      <c r="O47">
        <v>20</v>
      </c>
      <c r="P47">
        <v>24</v>
      </c>
      <c r="Q47" s="1">
        <v>40787</v>
      </c>
      <c r="R47">
        <v>61.227000310000001</v>
      </c>
    </row>
    <row r="48" spans="1:18" x14ac:dyDescent="0.3">
      <c r="A48" t="s">
        <v>72</v>
      </c>
      <c r="B48" s="6" t="s">
        <v>73</v>
      </c>
      <c r="C48" s="6" t="str">
        <f t="shared" si="0"/>
        <v>High Sales</v>
      </c>
      <c r="D48" s="2">
        <v>70.227000000000004</v>
      </c>
      <c r="E48" s="11">
        <v>7.4249999999999998</v>
      </c>
      <c r="F48" t="s">
        <v>18</v>
      </c>
      <c r="G48">
        <v>12.07</v>
      </c>
      <c r="H48">
        <v>2</v>
      </c>
      <c r="I48">
        <v>110</v>
      </c>
      <c r="J48" t="str" cm="1">
        <f t="array" ref="J48">_xlfn.IFS(I48&lt;120, "Weak", I48&lt;=200, "Moderate", I48&lt;=300, "Powerful", I48&gt;300, "Super")</f>
        <v>Weak</v>
      </c>
      <c r="K48">
        <v>98.4</v>
      </c>
      <c r="L48">
        <v>67</v>
      </c>
      <c r="M48">
        <v>174.7</v>
      </c>
      <c r="N48">
        <v>2.468</v>
      </c>
      <c r="O48">
        <v>12.7</v>
      </c>
      <c r="P48">
        <v>30</v>
      </c>
      <c r="Q48" s="1">
        <v>40999</v>
      </c>
      <c r="R48">
        <v>44.083709460000001</v>
      </c>
    </row>
    <row r="49" spans="1:18" x14ac:dyDescent="0.3">
      <c r="A49" t="s">
        <v>72</v>
      </c>
      <c r="B49" s="6" t="s">
        <v>74</v>
      </c>
      <c r="C49" s="6" t="str">
        <f t="shared" si="0"/>
        <v>High Sales</v>
      </c>
      <c r="D49" s="2">
        <v>113.369</v>
      </c>
      <c r="E49" s="11">
        <v>12.76</v>
      </c>
      <c r="F49" t="s">
        <v>18</v>
      </c>
      <c r="G49">
        <v>21.56</v>
      </c>
      <c r="H49">
        <v>3.8</v>
      </c>
      <c r="I49">
        <v>190</v>
      </c>
      <c r="J49" t="str" cm="1">
        <f t="array" ref="J49">_xlfn.IFS(I49&lt;120, "Weak", I49&lt;=200, "Moderate", I49&lt;=300, "Powerful", I49&gt;300, "Super")</f>
        <v>Moderate</v>
      </c>
      <c r="K49">
        <v>101.3</v>
      </c>
      <c r="L49">
        <v>73.099999999999994</v>
      </c>
      <c r="M49">
        <v>183.2</v>
      </c>
      <c r="N49">
        <v>3.2029999999999998</v>
      </c>
      <c r="O49">
        <v>15.7</v>
      </c>
      <c r="P49">
        <v>24</v>
      </c>
      <c r="Q49" s="1">
        <v>40939</v>
      </c>
      <c r="R49">
        <v>76.509184559999994</v>
      </c>
    </row>
    <row r="50" spans="1:18" x14ac:dyDescent="0.3">
      <c r="A50" t="s">
        <v>72</v>
      </c>
      <c r="B50" s="6" t="s">
        <v>75</v>
      </c>
      <c r="C50" s="6" t="str">
        <f t="shared" si="0"/>
        <v>High Sales</v>
      </c>
      <c r="D50" s="2">
        <v>35.067999999999998</v>
      </c>
      <c r="E50" s="11">
        <v>8.8350000000000009</v>
      </c>
      <c r="F50" t="s">
        <v>18</v>
      </c>
      <c r="G50">
        <v>17.035</v>
      </c>
      <c r="H50">
        <v>2.5</v>
      </c>
      <c r="I50">
        <v>170</v>
      </c>
      <c r="J50" t="str" cm="1">
        <f t="array" ref="J50">_xlfn.IFS(I50&lt;120, "Weak", I50&lt;=200, "Moderate", I50&lt;=300, "Powerful", I50&gt;300, "Super")</f>
        <v>Moderate</v>
      </c>
      <c r="K50">
        <v>106.5</v>
      </c>
      <c r="L50">
        <v>69.099999999999994</v>
      </c>
      <c r="M50">
        <v>184.6</v>
      </c>
      <c r="N50">
        <v>2.7690000000000001</v>
      </c>
      <c r="O50">
        <v>15</v>
      </c>
      <c r="P50">
        <v>25</v>
      </c>
      <c r="Q50" s="1">
        <v>41141</v>
      </c>
      <c r="R50">
        <v>67.351010720000005</v>
      </c>
    </row>
    <row r="51" spans="1:18" x14ac:dyDescent="0.3">
      <c r="A51" t="s">
        <v>72</v>
      </c>
      <c r="B51" s="6" t="s">
        <v>76</v>
      </c>
      <c r="C51" s="6" t="str">
        <f t="shared" si="0"/>
        <v>High Sales</v>
      </c>
      <c r="D51" s="2">
        <v>245.815</v>
      </c>
      <c r="E51" s="11">
        <v>10.055</v>
      </c>
      <c r="F51" t="s">
        <v>18</v>
      </c>
      <c r="G51">
        <v>17.885000000000002</v>
      </c>
      <c r="H51">
        <v>3</v>
      </c>
      <c r="I51">
        <v>155</v>
      </c>
      <c r="J51" t="str" cm="1">
        <f t="array" ref="J51">_xlfn.IFS(I51&lt;120, "Weak", I51&lt;=200, "Moderate", I51&lt;=300, "Powerful", I51&gt;300, "Super")</f>
        <v>Moderate</v>
      </c>
      <c r="K51">
        <v>108.5</v>
      </c>
      <c r="L51">
        <v>73</v>
      </c>
      <c r="M51">
        <v>197.6</v>
      </c>
      <c r="N51">
        <v>3.3679999999999999</v>
      </c>
      <c r="O51">
        <v>16</v>
      </c>
      <c r="P51">
        <v>24</v>
      </c>
      <c r="Q51" s="1">
        <v>40897</v>
      </c>
      <c r="R51">
        <v>62.503739500000002</v>
      </c>
    </row>
    <row r="52" spans="1:18" x14ac:dyDescent="0.3">
      <c r="A52" t="s">
        <v>72</v>
      </c>
      <c r="B52" s="6" t="s">
        <v>77</v>
      </c>
      <c r="C52" s="6" t="str">
        <f t="shared" si="0"/>
        <v>High Sales</v>
      </c>
      <c r="D52" s="2">
        <v>175.67</v>
      </c>
      <c r="E52" s="11"/>
      <c r="F52" t="s">
        <v>18</v>
      </c>
      <c r="G52">
        <v>12.315</v>
      </c>
      <c r="H52">
        <v>2</v>
      </c>
      <c r="I52">
        <v>107</v>
      </c>
      <c r="J52" t="str" cm="1">
        <f t="array" ref="J52">_xlfn.IFS(I52&lt;120, "Weak", I52&lt;=200, "Moderate", I52&lt;=300, "Powerful", I52&gt;300, "Super")</f>
        <v>Weak</v>
      </c>
      <c r="K52">
        <v>103</v>
      </c>
      <c r="L52">
        <v>66.900000000000006</v>
      </c>
      <c r="M52">
        <v>174.8</v>
      </c>
      <c r="N52">
        <v>2.5640000000000001</v>
      </c>
      <c r="O52">
        <v>13.2</v>
      </c>
      <c r="P52">
        <v>30</v>
      </c>
      <c r="Q52" s="1">
        <v>41112</v>
      </c>
      <c r="R52">
        <v>43.117132009999999</v>
      </c>
    </row>
    <row r="53" spans="1:18" x14ac:dyDescent="0.3">
      <c r="A53" t="s">
        <v>72</v>
      </c>
      <c r="B53" s="6" t="s">
        <v>78</v>
      </c>
      <c r="C53" s="6" t="str">
        <f t="shared" si="0"/>
        <v>High Sales</v>
      </c>
      <c r="D53" s="2">
        <v>63.402999999999999</v>
      </c>
      <c r="E53" s="11">
        <v>14.21</v>
      </c>
      <c r="F53" t="s">
        <v>18</v>
      </c>
      <c r="G53">
        <v>22.195</v>
      </c>
      <c r="H53">
        <v>4.5999999999999996</v>
      </c>
      <c r="I53">
        <v>200</v>
      </c>
      <c r="J53" t="str" cm="1">
        <f t="array" ref="J53">_xlfn.IFS(I53&lt;120, "Weak", I53&lt;=200, "Moderate", I53&lt;=300, "Powerful", I53&gt;300, "Super")</f>
        <v>Moderate</v>
      </c>
      <c r="K53">
        <v>114.7</v>
      </c>
      <c r="L53">
        <v>78.2</v>
      </c>
      <c r="M53">
        <v>212</v>
      </c>
      <c r="N53">
        <v>3.9079999999999999</v>
      </c>
      <c r="O53">
        <v>19</v>
      </c>
      <c r="P53">
        <v>21</v>
      </c>
      <c r="Q53" s="1">
        <v>40812</v>
      </c>
      <c r="R53">
        <v>80.499536710000001</v>
      </c>
    </row>
    <row r="54" spans="1:18" x14ac:dyDescent="0.3">
      <c r="A54" t="s">
        <v>72</v>
      </c>
      <c r="B54" s="6" t="s">
        <v>79</v>
      </c>
      <c r="C54" s="6" t="str">
        <f t="shared" si="0"/>
        <v>High Sales</v>
      </c>
      <c r="D54" s="2">
        <v>276.74700000000001</v>
      </c>
      <c r="E54" s="11">
        <v>16.64</v>
      </c>
      <c r="F54" t="s">
        <v>41</v>
      </c>
      <c r="G54">
        <v>31.93</v>
      </c>
      <c r="H54">
        <v>4</v>
      </c>
      <c r="I54">
        <v>210</v>
      </c>
      <c r="J54" t="str" cm="1">
        <f t="array" ref="J54">_xlfn.IFS(I54&lt;120, "Weak", I54&lt;=200, "Moderate", I54&lt;=300, "Powerful", I54&gt;300, "Super")</f>
        <v>Powerful</v>
      </c>
      <c r="K54">
        <v>111.6</v>
      </c>
      <c r="L54">
        <v>70.2</v>
      </c>
      <c r="M54">
        <v>190.7</v>
      </c>
      <c r="N54">
        <v>3.8759999999999999</v>
      </c>
      <c r="O54">
        <v>21</v>
      </c>
      <c r="P54">
        <v>19</v>
      </c>
      <c r="Q54" s="1">
        <v>41024</v>
      </c>
      <c r="R54">
        <v>87.635495779999999</v>
      </c>
    </row>
    <row r="55" spans="1:18" x14ac:dyDescent="0.3">
      <c r="A55" t="s">
        <v>72</v>
      </c>
      <c r="B55" s="6" t="s">
        <v>80</v>
      </c>
      <c r="C55" s="6" t="str">
        <f t="shared" si="0"/>
        <v>High Sales</v>
      </c>
      <c r="D55" s="2">
        <v>155.78700000000001</v>
      </c>
      <c r="E55" s="11">
        <v>13.175000000000001</v>
      </c>
      <c r="F55" t="s">
        <v>41</v>
      </c>
      <c r="G55">
        <v>21.41</v>
      </c>
      <c r="H55">
        <v>3</v>
      </c>
      <c r="I55">
        <v>150</v>
      </c>
      <c r="J55" t="str" cm="1">
        <f t="array" ref="J55">_xlfn.IFS(I55&lt;120, "Weak", I55&lt;=200, "Moderate", I55&lt;=300, "Powerful", I55&gt;300, "Super")</f>
        <v>Moderate</v>
      </c>
      <c r="K55">
        <v>120.7</v>
      </c>
      <c r="L55">
        <v>76.599999999999994</v>
      </c>
      <c r="M55">
        <v>200.9</v>
      </c>
      <c r="N55">
        <v>3.7610000000000001</v>
      </c>
      <c r="O55">
        <v>26</v>
      </c>
      <c r="P55">
        <v>21</v>
      </c>
      <c r="Q55" s="1">
        <v>40964</v>
      </c>
      <c r="R55">
        <v>62.095048390000002</v>
      </c>
    </row>
    <row r="56" spans="1:18" x14ac:dyDescent="0.3">
      <c r="A56" t="s">
        <v>72</v>
      </c>
      <c r="B56" s="6" t="s">
        <v>81</v>
      </c>
      <c r="C56" s="6" t="str">
        <f t="shared" si="0"/>
        <v>High Sales</v>
      </c>
      <c r="D56" s="2">
        <v>125.33799999999999</v>
      </c>
      <c r="E56" s="11">
        <v>23.574999999999999</v>
      </c>
      <c r="F56" t="s">
        <v>41</v>
      </c>
      <c r="G56">
        <v>36.134999999999998</v>
      </c>
      <c r="H56">
        <v>4.5999999999999996</v>
      </c>
      <c r="I56">
        <v>240</v>
      </c>
      <c r="J56" t="str" cm="1">
        <f t="array" ref="J56">_xlfn.IFS(I56&lt;120, "Weak", I56&lt;=200, "Moderate", I56&lt;=300, "Powerful", I56&gt;300, "Super")</f>
        <v>Powerful</v>
      </c>
      <c r="K56">
        <v>119</v>
      </c>
      <c r="L56">
        <v>78.7</v>
      </c>
      <c r="M56">
        <v>204.6</v>
      </c>
      <c r="N56">
        <v>4.8079999999999998</v>
      </c>
      <c r="O56">
        <v>26</v>
      </c>
      <c r="P56">
        <v>16</v>
      </c>
      <c r="Q56" s="1">
        <v>41166</v>
      </c>
      <c r="R56">
        <v>100.0248023</v>
      </c>
    </row>
    <row r="57" spans="1:18" x14ac:dyDescent="0.3">
      <c r="A57" t="s">
        <v>72</v>
      </c>
      <c r="B57" s="6" t="s">
        <v>82</v>
      </c>
      <c r="C57" s="6" t="str">
        <f t="shared" si="0"/>
        <v>High Sales</v>
      </c>
      <c r="D57" s="2">
        <v>220.65</v>
      </c>
      <c r="E57" s="11">
        <v>7.85</v>
      </c>
      <c r="F57" t="s">
        <v>41</v>
      </c>
      <c r="G57">
        <v>12.05</v>
      </c>
      <c r="H57">
        <v>2.5</v>
      </c>
      <c r="I57">
        <v>119</v>
      </c>
      <c r="J57" t="str" cm="1">
        <f t="array" ref="J57">_xlfn.IFS(I57&lt;120, "Weak", I57&lt;=200, "Moderate", I57&lt;=300, "Powerful", I57&gt;300, "Super")</f>
        <v>Weak</v>
      </c>
      <c r="K57">
        <v>117.5</v>
      </c>
      <c r="L57">
        <v>69.400000000000006</v>
      </c>
      <c r="M57">
        <v>200.7</v>
      </c>
      <c r="N57">
        <v>3.0859999999999999</v>
      </c>
      <c r="O57">
        <v>20</v>
      </c>
      <c r="P57">
        <v>23</v>
      </c>
      <c r="Q57" s="1">
        <v>40922</v>
      </c>
      <c r="R57">
        <v>47.389531310000002</v>
      </c>
    </row>
    <row r="58" spans="1:18" x14ac:dyDescent="0.3">
      <c r="A58" t="s">
        <v>72</v>
      </c>
      <c r="B58" s="6" t="s">
        <v>83</v>
      </c>
      <c r="C58" s="6" t="str">
        <f t="shared" si="0"/>
        <v>High Sales</v>
      </c>
      <c r="D58" s="2">
        <v>540.56100000000004</v>
      </c>
      <c r="E58" s="11">
        <v>15.074999999999999</v>
      </c>
      <c r="F58" t="s">
        <v>41</v>
      </c>
      <c r="G58">
        <v>26.934999999999999</v>
      </c>
      <c r="H58">
        <v>4.5999999999999996</v>
      </c>
      <c r="I58">
        <v>220</v>
      </c>
      <c r="J58" t="str" cm="1">
        <f t="array" ref="J58">_xlfn.IFS(I58&lt;120, "Weak", I58&lt;=200, "Moderate", I58&lt;=300, "Powerful", I58&gt;300, "Super")</f>
        <v>Powerful</v>
      </c>
      <c r="K58">
        <v>138.5</v>
      </c>
      <c r="L58">
        <v>79.099999999999994</v>
      </c>
      <c r="M58">
        <v>224.5</v>
      </c>
      <c r="N58">
        <v>4.2409999999999997</v>
      </c>
      <c r="O58">
        <v>25.1</v>
      </c>
      <c r="P58">
        <v>18</v>
      </c>
      <c r="Q58" s="1">
        <v>41137</v>
      </c>
      <c r="R58">
        <v>89.401934729999994</v>
      </c>
    </row>
    <row r="59" spans="1:18" x14ac:dyDescent="0.3">
      <c r="A59" t="s">
        <v>84</v>
      </c>
      <c r="B59" s="6" t="s">
        <v>85</v>
      </c>
      <c r="C59" s="6" t="str">
        <f t="shared" si="0"/>
        <v>High Sales</v>
      </c>
      <c r="D59" s="2">
        <v>199.685</v>
      </c>
      <c r="E59" s="11">
        <v>9.85</v>
      </c>
      <c r="F59" t="s">
        <v>18</v>
      </c>
      <c r="G59">
        <v>12.885</v>
      </c>
      <c r="H59">
        <v>1.6</v>
      </c>
      <c r="I59">
        <v>106</v>
      </c>
      <c r="J59" t="str" cm="1">
        <f t="array" ref="J59">_xlfn.IFS(I59&lt;120, "Weak", I59&lt;=200, "Moderate", I59&lt;=300, "Powerful", I59&gt;300, "Super")</f>
        <v>Weak</v>
      </c>
      <c r="K59">
        <v>103.2</v>
      </c>
      <c r="L59">
        <v>67.099999999999994</v>
      </c>
      <c r="M59">
        <v>175.1</v>
      </c>
      <c r="N59">
        <v>2.339</v>
      </c>
      <c r="O59">
        <v>11.9</v>
      </c>
      <c r="P59">
        <v>32</v>
      </c>
      <c r="Q59" s="1">
        <v>40837</v>
      </c>
      <c r="R59">
        <v>42.879097340000001</v>
      </c>
    </row>
    <row r="60" spans="1:18" x14ac:dyDescent="0.3">
      <c r="A60" t="s">
        <v>84</v>
      </c>
      <c r="B60" s="6" t="s">
        <v>86</v>
      </c>
      <c r="C60" s="6" t="str">
        <f t="shared" si="0"/>
        <v>High Sales</v>
      </c>
      <c r="D60" s="2">
        <v>230.90199999999999</v>
      </c>
      <c r="E60" s="11">
        <v>13.21</v>
      </c>
      <c r="F60" t="s">
        <v>18</v>
      </c>
      <c r="G60">
        <v>15.35</v>
      </c>
      <c r="H60">
        <v>2.2999999999999998</v>
      </c>
      <c r="I60">
        <v>135</v>
      </c>
      <c r="J60" t="str" cm="1">
        <f t="array" ref="J60">_xlfn.IFS(I60&lt;120, "Weak", I60&lt;=200, "Moderate", I60&lt;=300, "Powerful", I60&gt;300, "Super")</f>
        <v>Moderate</v>
      </c>
      <c r="K60">
        <v>106.9</v>
      </c>
      <c r="L60">
        <v>70.3</v>
      </c>
      <c r="M60">
        <v>188.8</v>
      </c>
      <c r="N60">
        <v>2.9319999999999999</v>
      </c>
      <c r="O60">
        <v>17.100000000000001</v>
      </c>
      <c r="P60">
        <v>27</v>
      </c>
      <c r="Q60" s="1">
        <v>41049</v>
      </c>
      <c r="R60">
        <v>54.269548290000003</v>
      </c>
    </row>
    <row r="61" spans="1:18" x14ac:dyDescent="0.3">
      <c r="A61" t="s">
        <v>84</v>
      </c>
      <c r="B61" s="6" t="s">
        <v>87</v>
      </c>
      <c r="C61" s="6" t="str">
        <f t="shared" si="0"/>
        <v>High Sales</v>
      </c>
      <c r="D61" s="2">
        <v>73.203000000000003</v>
      </c>
      <c r="E61" s="11">
        <v>17.71</v>
      </c>
      <c r="F61" t="s">
        <v>41</v>
      </c>
      <c r="G61">
        <v>20.55</v>
      </c>
      <c r="H61">
        <v>2</v>
      </c>
      <c r="I61">
        <v>146</v>
      </c>
      <c r="J61" t="str" cm="1">
        <f t="array" ref="J61">_xlfn.IFS(I61&lt;120, "Weak", I61&lt;=200, "Moderate", I61&lt;=300, "Powerful", I61&gt;300, "Super")</f>
        <v>Moderate</v>
      </c>
      <c r="K61">
        <v>103.2</v>
      </c>
      <c r="L61">
        <v>68.900000000000006</v>
      </c>
      <c r="M61">
        <v>177.6</v>
      </c>
      <c r="N61">
        <v>3.2189999999999999</v>
      </c>
      <c r="O61">
        <v>15.3</v>
      </c>
      <c r="P61">
        <v>24</v>
      </c>
      <c r="Q61" s="1">
        <v>40989</v>
      </c>
      <c r="R61">
        <v>60.087966620000003</v>
      </c>
    </row>
    <row r="62" spans="1:18" x14ac:dyDescent="0.3">
      <c r="A62" t="s">
        <v>84</v>
      </c>
      <c r="B62" s="6" t="s">
        <v>88</v>
      </c>
      <c r="C62" s="6" t="str">
        <f t="shared" si="0"/>
        <v>Low Sales</v>
      </c>
      <c r="D62" s="2">
        <v>12.855</v>
      </c>
      <c r="E62" s="11">
        <v>17.524999999999999</v>
      </c>
      <c r="F62" t="s">
        <v>41</v>
      </c>
      <c r="G62">
        <v>26.6</v>
      </c>
      <c r="H62">
        <v>3.2</v>
      </c>
      <c r="I62">
        <v>205</v>
      </c>
      <c r="J62" t="str" cm="1">
        <f t="array" ref="J62">_xlfn.IFS(I62&lt;120, "Weak", I62&lt;=200, "Moderate", I62&lt;=300, "Powerful", I62&gt;300, "Super")</f>
        <v>Powerful</v>
      </c>
      <c r="K62">
        <v>106.4</v>
      </c>
      <c r="L62">
        <v>70.400000000000006</v>
      </c>
      <c r="M62">
        <v>178.2</v>
      </c>
      <c r="N62">
        <v>3.8570000000000002</v>
      </c>
      <c r="O62">
        <v>21.1</v>
      </c>
      <c r="P62">
        <v>19</v>
      </c>
      <c r="Q62" s="1">
        <v>41191</v>
      </c>
      <c r="R62">
        <v>83.602500800000001</v>
      </c>
    </row>
    <row r="63" spans="1:18" x14ac:dyDescent="0.3">
      <c r="A63" t="s">
        <v>84</v>
      </c>
      <c r="B63" s="6" t="s">
        <v>89</v>
      </c>
      <c r="C63" s="6" t="str">
        <f t="shared" si="0"/>
        <v>High Sales</v>
      </c>
      <c r="D63" s="2">
        <v>76.028999999999996</v>
      </c>
      <c r="E63" s="11">
        <v>19.489999999999998</v>
      </c>
      <c r="F63" t="s">
        <v>41</v>
      </c>
      <c r="G63">
        <v>26</v>
      </c>
      <c r="H63">
        <v>3.5</v>
      </c>
      <c r="I63">
        <v>210</v>
      </c>
      <c r="J63" t="str" cm="1">
        <f t="array" ref="J63">_xlfn.IFS(I63&lt;120, "Weak", I63&lt;=200, "Moderate", I63&lt;=300, "Powerful", I63&gt;300, "Super")</f>
        <v>Powerful</v>
      </c>
      <c r="K63">
        <v>118.1</v>
      </c>
      <c r="L63">
        <v>75.599999999999994</v>
      </c>
      <c r="M63">
        <v>201.2</v>
      </c>
      <c r="N63">
        <v>4.2880000000000003</v>
      </c>
      <c r="O63">
        <v>20</v>
      </c>
      <c r="P63">
        <v>23</v>
      </c>
      <c r="Q63" s="1">
        <v>40947</v>
      </c>
      <c r="R63">
        <v>85.217691340000002</v>
      </c>
    </row>
    <row r="64" spans="1:18" x14ac:dyDescent="0.3">
      <c r="A64" t="s">
        <v>90</v>
      </c>
      <c r="B64" s="6" t="s">
        <v>91</v>
      </c>
      <c r="C64" s="6" t="str">
        <f t="shared" si="0"/>
        <v>High Sales</v>
      </c>
      <c r="D64" s="2">
        <v>41.183999999999997</v>
      </c>
      <c r="E64" s="11">
        <v>5.86</v>
      </c>
      <c r="F64" t="s">
        <v>18</v>
      </c>
      <c r="G64">
        <v>9.6989999999999998</v>
      </c>
      <c r="H64">
        <v>1.5</v>
      </c>
      <c r="I64">
        <v>92</v>
      </c>
      <c r="J64" t="str" cm="1">
        <f t="array" ref="J64">_xlfn.IFS(I64&lt;120, "Weak", I64&lt;=200, "Moderate", I64&lt;=300, "Powerful", I64&gt;300, "Super")</f>
        <v>Weak</v>
      </c>
      <c r="K64">
        <v>96.1</v>
      </c>
      <c r="L64">
        <v>65.7</v>
      </c>
      <c r="M64">
        <v>166.7</v>
      </c>
      <c r="N64">
        <v>2.2400000000000002</v>
      </c>
      <c r="O64">
        <v>11.9</v>
      </c>
      <c r="P64">
        <v>31</v>
      </c>
      <c r="Q64" s="1">
        <v>41162</v>
      </c>
      <c r="R64">
        <v>36.672283579999998</v>
      </c>
    </row>
    <row r="65" spans="1:18" x14ac:dyDescent="0.3">
      <c r="A65" t="s">
        <v>90</v>
      </c>
      <c r="B65" s="6" t="s">
        <v>92</v>
      </c>
      <c r="C65" s="6" t="str">
        <f t="shared" si="0"/>
        <v>High Sales</v>
      </c>
      <c r="D65" s="2">
        <v>66.691999999999993</v>
      </c>
      <c r="E65" s="11">
        <v>7.8250000000000002</v>
      </c>
      <c r="F65" t="s">
        <v>18</v>
      </c>
      <c r="G65">
        <v>11.798999999999999</v>
      </c>
      <c r="H65">
        <v>2</v>
      </c>
      <c r="I65">
        <v>140</v>
      </c>
      <c r="J65" t="str" cm="1">
        <f t="array" ref="J65">_xlfn.IFS(I65&lt;120, "Weak", I65&lt;=200, "Moderate", I65&lt;=300, "Powerful", I65&gt;300, "Super")</f>
        <v>Moderate</v>
      </c>
      <c r="K65">
        <v>100.4</v>
      </c>
      <c r="L65">
        <v>66.900000000000006</v>
      </c>
      <c r="M65">
        <v>174</v>
      </c>
      <c r="N65">
        <v>2.6259999999999999</v>
      </c>
      <c r="O65">
        <v>14.5</v>
      </c>
      <c r="P65">
        <v>27</v>
      </c>
      <c r="Q65" s="1">
        <v>40862</v>
      </c>
      <c r="R65">
        <v>54.590045160000003</v>
      </c>
    </row>
    <row r="66" spans="1:18" x14ac:dyDescent="0.3">
      <c r="A66" t="s">
        <v>90</v>
      </c>
      <c r="B66" s="6" t="s">
        <v>93</v>
      </c>
      <c r="C66" s="6" t="str">
        <f t="shared" si="0"/>
        <v>High Sales</v>
      </c>
      <c r="D66" s="2">
        <v>29.45</v>
      </c>
      <c r="E66" s="11">
        <v>8.91</v>
      </c>
      <c r="F66" t="s">
        <v>18</v>
      </c>
      <c r="G66">
        <v>14.999000000000001</v>
      </c>
      <c r="H66">
        <v>2.4</v>
      </c>
      <c r="I66">
        <v>148</v>
      </c>
      <c r="J66" t="str" cm="1">
        <f t="array" ref="J66">_xlfn.IFS(I66&lt;120, "Weak", I66&lt;=200, "Moderate", I66&lt;=300, "Powerful", I66&gt;300, "Super")</f>
        <v>Moderate</v>
      </c>
      <c r="K66">
        <v>106.3</v>
      </c>
      <c r="L66">
        <v>71.599999999999994</v>
      </c>
      <c r="M66">
        <v>185.4</v>
      </c>
      <c r="N66">
        <v>3.0720000000000001</v>
      </c>
      <c r="O66">
        <v>17.2</v>
      </c>
      <c r="P66">
        <v>25</v>
      </c>
      <c r="Q66" s="1">
        <v>41074</v>
      </c>
      <c r="R66">
        <v>58.758248999999999</v>
      </c>
    </row>
    <row r="67" spans="1:18" x14ac:dyDescent="0.3">
      <c r="A67" t="s">
        <v>94</v>
      </c>
      <c r="B67" s="6" t="s">
        <v>95</v>
      </c>
      <c r="C67" s="6" t="str">
        <f t="shared" ref="C67:C130" si="1">IF(D67&gt;20,"High Sales","Low Sales")</f>
        <v>High Sales</v>
      </c>
      <c r="D67" s="2">
        <v>23.713000000000001</v>
      </c>
      <c r="E67" s="11">
        <v>19.690000000000001</v>
      </c>
      <c r="F67" t="s">
        <v>18</v>
      </c>
      <c r="G67">
        <v>29.465</v>
      </c>
      <c r="H67">
        <v>3</v>
      </c>
      <c r="I67">
        <v>227</v>
      </c>
      <c r="J67" t="str" cm="1">
        <f t="array" ref="J67">_xlfn.IFS(I67&lt;120, "Weak", I67&lt;=200, "Moderate", I67&lt;=300, "Powerful", I67&gt;300, "Super")</f>
        <v>Powerful</v>
      </c>
      <c r="K67">
        <v>108.3</v>
      </c>
      <c r="L67">
        <v>70.2</v>
      </c>
      <c r="M67">
        <v>193.7</v>
      </c>
      <c r="N67">
        <v>3.3420000000000001</v>
      </c>
      <c r="O67">
        <v>18.5</v>
      </c>
      <c r="P67">
        <v>25</v>
      </c>
      <c r="Q67" s="1">
        <v>41014</v>
      </c>
      <c r="R67">
        <v>92.436889230000006</v>
      </c>
    </row>
    <row r="68" spans="1:18" x14ac:dyDescent="0.3">
      <c r="A68" t="s">
        <v>96</v>
      </c>
      <c r="B68" s="6" t="s">
        <v>97</v>
      </c>
      <c r="C68" s="6" t="str">
        <f t="shared" si="1"/>
        <v>Low Sales</v>
      </c>
      <c r="D68" s="2">
        <v>15.467000000000001</v>
      </c>
      <c r="E68" s="11"/>
      <c r="F68" t="s">
        <v>18</v>
      </c>
      <c r="G68">
        <v>42.8</v>
      </c>
      <c r="H68">
        <v>3</v>
      </c>
      <c r="I68">
        <v>240</v>
      </c>
      <c r="J68" t="str" cm="1">
        <f t="array" ref="J68">_xlfn.IFS(I68&lt;120, "Weak", I68&lt;=200, "Moderate", I68&lt;=300, "Powerful", I68&gt;300, "Super")</f>
        <v>Powerful</v>
      </c>
      <c r="K68">
        <v>114.5</v>
      </c>
      <c r="L68">
        <v>71.599999999999994</v>
      </c>
      <c r="M68">
        <v>191.3</v>
      </c>
      <c r="N68">
        <v>3.65</v>
      </c>
      <c r="O68">
        <v>18.399999999999999</v>
      </c>
      <c r="P68">
        <v>21</v>
      </c>
      <c r="Q68" s="1">
        <v>41216</v>
      </c>
      <c r="R68">
        <v>102.17898479999999</v>
      </c>
    </row>
    <row r="69" spans="1:18" x14ac:dyDescent="0.3">
      <c r="A69" t="s">
        <v>98</v>
      </c>
      <c r="B69" s="6" t="s">
        <v>99</v>
      </c>
      <c r="C69" s="6" t="str">
        <f t="shared" si="1"/>
        <v>High Sales</v>
      </c>
      <c r="D69" s="2">
        <v>55.557000000000002</v>
      </c>
      <c r="E69" s="11">
        <v>13.475</v>
      </c>
      <c r="F69" t="s">
        <v>41</v>
      </c>
      <c r="G69">
        <v>14.46</v>
      </c>
      <c r="H69">
        <v>2.5</v>
      </c>
      <c r="I69">
        <v>120</v>
      </c>
      <c r="J69" t="str" cm="1">
        <f t="array" ref="J69">_xlfn.IFS(I69&lt;120, "Weak", I69&lt;=200, "Moderate", I69&lt;=300, "Powerful", I69&gt;300, "Super")</f>
        <v>Moderate</v>
      </c>
      <c r="K69">
        <v>93.4</v>
      </c>
      <c r="L69">
        <v>66.7</v>
      </c>
      <c r="M69">
        <v>152</v>
      </c>
      <c r="N69">
        <v>3.0449999999999999</v>
      </c>
      <c r="O69">
        <v>19</v>
      </c>
      <c r="P69">
        <v>17</v>
      </c>
      <c r="Q69" s="1">
        <v>40972</v>
      </c>
      <c r="R69">
        <v>48.672897910000003</v>
      </c>
    </row>
    <row r="70" spans="1:18" x14ac:dyDescent="0.3">
      <c r="A70" t="s">
        <v>98</v>
      </c>
      <c r="B70" s="6" t="s">
        <v>100</v>
      </c>
      <c r="C70" s="6" t="str">
        <f t="shared" si="1"/>
        <v>High Sales</v>
      </c>
      <c r="D70" s="2">
        <v>80.555999999999997</v>
      </c>
      <c r="E70" s="11">
        <v>13.775</v>
      </c>
      <c r="F70" t="s">
        <v>41</v>
      </c>
      <c r="G70">
        <v>21.62</v>
      </c>
      <c r="H70">
        <v>4</v>
      </c>
      <c r="I70">
        <v>190</v>
      </c>
      <c r="J70" t="str" cm="1">
        <f t="array" ref="J70">_xlfn.IFS(I70&lt;120, "Weak", I70&lt;=200, "Moderate", I70&lt;=300, "Powerful", I70&gt;300, "Super")</f>
        <v>Moderate</v>
      </c>
      <c r="K70">
        <v>101.4</v>
      </c>
      <c r="L70">
        <v>69.400000000000006</v>
      </c>
      <c r="M70">
        <v>167.5</v>
      </c>
      <c r="N70">
        <v>3.194</v>
      </c>
      <c r="O70">
        <v>20</v>
      </c>
      <c r="P70">
        <v>20</v>
      </c>
      <c r="Q70" s="1">
        <v>41187</v>
      </c>
      <c r="R70">
        <v>76.584439619999998</v>
      </c>
    </row>
    <row r="71" spans="1:18" x14ac:dyDescent="0.3">
      <c r="A71" t="s">
        <v>98</v>
      </c>
      <c r="B71" s="6" t="s">
        <v>101</v>
      </c>
      <c r="C71" s="6" t="str">
        <f t="shared" si="1"/>
        <v>High Sales</v>
      </c>
      <c r="D71" s="2">
        <v>157.04</v>
      </c>
      <c r="E71" s="11">
        <v>18.809999999999999</v>
      </c>
      <c r="F71" t="s">
        <v>41</v>
      </c>
      <c r="G71">
        <v>26.895</v>
      </c>
      <c r="H71">
        <v>4</v>
      </c>
      <c r="I71">
        <v>195</v>
      </c>
      <c r="J71" t="str" cm="1">
        <f t="array" ref="J71">_xlfn.IFS(I71&lt;120, "Weak", I71&lt;=200, "Moderate", I71&lt;=300, "Powerful", I71&gt;300, "Super")</f>
        <v>Moderate</v>
      </c>
      <c r="K71">
        <v>105.9</v>
      </c>
      <c r="L71">
        <v>72.3</v>
      </c>
      <c r="M71">
        <v>181.5</v>
      </c>
      <c r="N71">
        <v>3.88</v>
      </c>
      <c r="O71">
        <v>20.5</v>
      </c>
      <c r="P71">
        <v>19</v>
      </c>
      <c r="Q71" s="1">
        <v>40887</v>
      </c>
      <c r="R71">
        <v>80.387779120000005</v>
      </c>
    </row>
    <row r="72" spans="1:18" x14ac:dyDescent="0.3">
      <c r="A72" t="s">
        <v>102</v>
      </c>
      <c r="B72" s="6" t="s">
        <v>103</v>
      </c>
      <c r="C72" s="6" t="str">
        <f t="shared" si="1"/>
        <v>High Sales</v>
      </c>
      <c r="D72" s="2">
        <v>24.071999999999999</v>
      </c>
      <c r="E72" s="11">
        <v>26.975000000000001</v>
      </c>
      <c r="F72" t="s">
        <v>18</v>
      </c>
      <c r="G72">
        <v>31.504999999999999</v>
      </c>
      <c r="H72">
        <v>3</v>
      </c>
      <c r="I72">
        <v>210</v>
      </c>
      <c r="J72" t="str" cm="1">
        <f t="array" ref="J72">_xlfn.IFS(I72&lt;120, "Weak", I72&lt;=200, "Moderate", I72&lt;=300, "Powerful", I72&gt;300, "Super")</f>
        <v>Powerful</v>
      </c>
      <c r="K72">
        <v>105.1</v>
      </c>
      <c r="L72">
        <v>70.5</v>
      </c>
      <c r="M72">
        <v>190.2</v>
      </c>
      <c r="N72">
        <v>3.3730000000000002</v>
      </c>
      <c r="O72">
        <v>18.5</v>
      </c>
      <c r="P72">
        <v>23</v>
      </c>
      <c r="Q72" s="1">
        <v>41099</v>
      </c>
      <c r="R72">
        <v>87.211001039999999</v>
      </c>
    </row>
    <row r="73" spans="1:18" x14ac:dyDescent="0.3">
      <c r="A73" t="s">
        <v>102</v>
      </c>
      <c r="B73" s="6" t="s">
        <v>104</v>
      </c>
      <c r="C73" s="6" t="str">
        <f t="shared" si="1"/>
        <v>Low Sales</v>
      </c>
      <c r="D73" s="2">
        <v>12.698</v>
      </c>
      <c r="E73" s="11">
        <v>32.075000000000003</v>
      </c>
      <c r="F73" t="s">
        <v>18</v>
      </c>
      <c r="G73">
        <v>37.805</v>
      </c>
      <c r="H73">
        <v>3</v>
      </c>
      <c r="I73">
        <v>225</v>
      </c>
      <c r="J73" t="str" cm="1">
        <f t="array" ref="J73">_xlfn.IFS(I73&lt;120, "Weak", I73&lt;=200, "Moderate", I73&lt;=300, "Powerful", I73&gt;300, "Super")</f>
        <v>Powerful</v>
      </c>
      <c r="K73">
        <v>110.2</v>
      </c>
      <c r="L73">
        <v>70.900000000000006</v>
      </c>
      <c r="M73">
        <v>189.2</v>
      </c>
      <c r="N73">
        <v>3.6379999999999999</v>
      </c>
      <c r="O73">
        <v>19.8</v>
      </c>
      <c r="P73">
        <v>23</v>
      </c>
      <c r="Q73" s="1">
        <v>41039</v>
      </c>
      <c r="R73">
        <v>94.946698400000002</v>
      </c>
    </row>
    <row r="74" spans="1:18" x14ac:dyDescent="0.3">
      <c r="A74" t="s">
        <v>102</v>
      </c>
      <c r="B74" s="6" t="s">
        <v>105</v>
      </c>
      <c r="C74" s="6" t="str">
        <f t="shared" si="1"/>
        <v>Low Sales</v>
      </c>
      <c r="D74" s="2">
        <v>3.3340000000000001</v>
      </c>
      <c r="E74" s="11"/>
      <c r="F74" t="s">
        <v>18</v>
      </c>
      <c r="G74">
        <v>46.305</v>
      </c>
      <c r="H74">
        <v>4</v>
      </c>
      <c r="I74">
        <v>300</v>
      </c>
      <c r="J74" t="str" cm="1">
        <f t="array" ref="J74">_xlfn.IFS(I74&lt;120, "Weak", I74&lt;=200, "Moderate", I74&lt;=300, "Powerful", I74&gt;300, "Super")</f>
        <v>Powerful</v>
      </c>
      <c r="K74">
        <v>110.2</v>
      </c>
      <c r="L74">
        <v>70.900000000000006</v>
      </c>
      <c r="M74">
        <v>189.2</v>
      </c>
      <c r="N74">
        <v>3.6930000000000001</v>
      </c>
      <c r="O74">
        <v>19.8</v>
      </c>
      <c r="P74">
        <v>21</v>
      </c>
      <c r="Q74" s="1">
        <v>41241</v>
      </c>
      <c r="R74">
        <v>125.0133574</v>
      </c>
    </row>
    <row r="75" spans="1:18" x14ac:dyDescent="0.3">
      <c r="A75" t="s">
        <v>102</v>
      </c>
      <c r="B75" s="6" t="s">
        <v>106</v>
      </c>
      <c r="C75" s="6" t="str">
        <f t="shared" si="1"/>
        <v>Low Sales</v>
      </c>
      <c r="D75" s="2">
        <v>6.375</v>
      </c>
      <c r="E75" s="11">
        <v>40.375</v>
      </c>
      <c r="F75" t="s">
        <v>18</v>
      </c>
      <c r="G75">
        <v>54.005000000000003</v>
      </c>
      <c r="H75">
        <v>4</v>
      </c>
      <c r="I75">
        <v>290</v>
      </c>
      <c r="J75" t="str" cm="1">
        <f t="array" ref="J75">_xlfn.IFS(I75&lt;120, "Weak", I75&lt;=200, "Moderate", I75&lt;=300, "Powerful", I75&gt;300, "Super")</f>
        <v>Powerful</v>
      </c>
      <c r="K75">
        <v>112.2</v>
      </c>
      <c r="L75">
        <v>72</v>
      </c>
      <c r="M75">
        <v>196.7</v>
      </c>
      <c r="N75">
        <v>3.89</v>
      </c>
      <c r="O75">
        <v>22.5</v>
      </c>
      <c r="P75">
        <v>22</v>
      </c>
      <c r="Q75" s="1">
        <v>40997</v>
      </c>
      <c r="R75">
        <v>124.44671630000001</v>
      </c>
    </row>
    <row r="76" spans="1:18" x14ac:dyDescent="0.3">
      <c r="A76" t="s">
        <v>102</v>
      </c>
      <c r="B76" s="6" t="s">
        <v>107</v>
      </c>
      <c r="C76" s="6" t="str">
        <f t="shared" si="1"/>
        <v>Low Sales</v>
      </c>
      <c r="D76" s="2">
        <v>9.1259999999999994</v>
      </c>
      <c r="E76" s="11"/>
      <c r="F76" t="s">
        <v>41</v>
      </c>
      <c r="G76">
        <v>60.104999999999997</v>
      </c>
      <c r="H76">
        <v>4.7</v>
      </c>
      <c r="I76">
        <v>230</v>
      </c>
      <c r="J76" t="str" cm="1">
        <f t="array" ref="J76">_xlfn.IFS(I76&lt;120, "Weak", I76&lt;=200, "Moderate", I76&lt;=300, "Powerful", I76&gt;300, "Super")</f>
        <v>Powerful</v>
      </c>
      <c r="K76">
        <v>112.2</v>
      </c>
      <c r="L76">
        <v>76.400000000000006</v>
      </c>
      <c r="M76">
        <v>192.5</v>
      </c>
      <c r="N76">
        <v>5.4009999999999998</v>
      </c>
      <c r="O76">
        <v>25.4</v>
      </c>
      <c r="P76">
        <v>15</v>
      </c>
      <c r="Q76" s="1">
        <v>41212</v>
      </c>
      <c r="R76">
        <v>105.760458</v>
      </c>
    </row>
    <row r="77" spans="1:18" x14ac:dyDescent="0.3">
      <c r="A77" t="s">
        <v>102</v>
      </c>
      <c r="B77" s="6" t="s">
        <v>108</v>
      </c>
      <c r="C77" s="6" t="str">
        <f t="shared" si="1"/>
        <v>High Sales</v>
      </c>
      <c r="D77" s="2">
        <v>51.238</v>
      </c>
      <c r="E77" s="11"/>
      <c r="F77" t="s">
        <v>41</v>
      </c>
      <c r="G77">
        <v>34.604999999999997</v>
      </c>
      <c r="H77">
        <v>3</v>
      </c>
      <c r="I77">
        <v>220</v>
      </c>
      <c r="J77" t="str" cm="1">
        <f t="array" ref="J77">_xlfn.IFS(I77&lt;120, "Weak", I77&lt;=200, "Moderate", I77&lt;=300, "Powerful", I77&gt;300, "Super")</f>
        <v>Powerful</v>
      </c>
      <c r="K77">
        <v>103</v>
      </c>
      <c r="L77">
        <v>71.5</v>
      </c>
      <c r="M77">
        <v>180.1</v>
      </c>
      <c r="N77">
        <v>3.9</v>
      </c>
      <c r="O77">
        <v>17.2</v>
      </c>
      <c r="P77">
        <v>21</v>
      </c>
      <c r="Q77" s="1">
        <v>40912</v>
      </c>
      <c r="R77">
        <v>91.943801559999997</v>
      </c>
    </row>
    <row r="78" spans="1:18" x14ac:dyDescent="0.3">
      <c r="A78" t="s">
        <v>109</v>
      </c>
      <c r="B78" s="6" t="s">
        <v>110</v>
      </c>
      <c r="C78" s="6" t="str">
        <f t="shared" si="1"/>
        <v>Low Sales</v>
      </c>
      <c r="D78" s="2">
        <v>13.798</v>
      </c>
      <c r="E78" s="11">
        <v>20.524999999999999</v>
      </c>
      <c r="F78" t="s">
        <v>18</v>
      </c>
      <c r="G78">
        <v>39.08</v>
      </c>
      <c r="H78">
        <v>4.5999999999999996</v>
      </c>
      <c r="I78">
        <v>275</v>
      </c>
      <c r="J78" t="str" cm="1">
        <f t="array" ref="J78">_xlfn.IFS(I78&lt;120, "Weak", I78&lt;=200, "Moderate", I78&lt;=300, "Powerful", I78&gt;300, "Super")</f>
        <v>Powerful</v>
      </c>
      <c r="K78">
        <v>109</v>
      </c>
      <c r="L78">
        <v>73.599999999999994</v>
      </c>
      <c r="M78">
        <v>208.5</v>
      </c>
      <c r="N78">
        <v>3.8679999999999999</v>
      </c>
      <c r="O78">
        <v>20</v>
      </c>
      <c r="P78">
        <v>22</v>
      </c>
      <c r="Q78" s="1">
        <v>41124</v>
      </c>
      <c r="R78">
        <v>113.5402069</v>
      </c>
    </row>
    <row r="79" spans="1:18" x14ac:dyDescent="0.3">
      <c r="A79" t="s">
        <v>109</v>
      </c>
      <c r="B79" s="6" t="s">
        <v>111</v>
      </c>
      <c r="C79" s="6" t="str">
        <f t="shared" si="1"/>
        <v>High Sales</v>
      </c>
      <c r="D79" s="2">
        <v>48.911000000000001</v>
      </c>
      <c r="E79" s="11">
        <v>21.725000000000001</v>
      </c>
      <c r="F79" t="s">
        <v>18</v>
      </c>
      <c r="G79">
        <v>43.33</v>
      </c>
      <c r="H79">
        <v>4.5999999999999996</v>
      </c>
      <c r="I79">
        <v>215</v>
      </c>
      <c r="J79" t="str" cm="1">
        <f t="array" ref="J79">_xlfn.IFS(I79&lt;120, "Weak", I79&lt;=200, "Moderate", I79&lt;=300, "Powerful", I79&gt;300, "Super")</f>
        <v>Powerful</v>
      </c>
      <c r="K79">
        <v>117.7</v>
      </c>
      <c r="L79">
        <v>78.2</v>
      </c>
      <c r="M79">
        <v>215.3</v>
      </c>
      <c r="N79">
        <v>4.1210000000000004</v>
      </c>
      <c r="O79">
        <v>19</v>
      </c>
      <c r="P79">
        <v>21</v>
      </c>
      <c r="Q79" s="1">
        <v>41064</v>
      </c>
      <c r="R79">
        <v>93.957916900000001</v>
      </c>
    </row>
    <row r="80" spans="1:18" x14ac:dyDescent="0.3">
      <c r="A80" t="s">
        <v>109</v>
      </c>
      <c r="B80" s="6" t="s">
        <v>112</v>
      </c>
      <c r="C80" s="6" t="str">
        <f t="shared" si="1"/>
        <v>High Sales</v>
      </c>
      <c r="D80" s="2">
        <v>22.925000000000001</v>
      </c>
      <c r="E80" s="11"/>
      <c r="F80" t="s">
        <v>41</v>
      </c>
      <c r="G80">
        <v>42.66</v>
      </c>
      <c r="H80">
        <v>5.4</v>
      </c>
      <c r="I80">
        <v>300</v>
      </c>
      <c r="J80" t="str" cm="1">
        <f t="array" ref="J80">_xlfn.IFS(I80&lt;120, "Weak", I80&lt;=200, "Moderate", I80&lt;=300, "Powerful", I80&gt;300, "Super")</f>
        <v>Powerful</v>
      </c>
      <c r="K80">
        <v>119</v>
      </c>
      <c r="L80">
        <v>79.900000000000006</v>
      </c>
      <c r="M80">
        <v>204.8</v>
      </c>
      <c r="N80">
        <v>5.3929999999999998</v>
      </c>
      <c r="O80">
        <v>30</v>
      </c>
      <c r="P80">
        <v>15</v>
      </c>
      <c r="Q80" s="1">
        <v>41266</v>
      </c>
      <c r="R80">
        <v>123.97204670000001</v>
      </c>
    </row>
    <row r="81" spans="1:18" x14ac:dyDescent="0.3">
      <c r="A81" t="s">
        <v>113</v>
      </c>
      <c r="B81" s="6" t="s">
        <v>114</v>
      </c>
      <c r="C81" s="6" t="str">
        <f t="shared" si="1"/>
        <v>High Sales</v>
      </c>
      <c r="D81" s="2">
        <v>26.231999999999999</v>
      </c>
      <c r="E81" s="11">
        <v>8.3249999999999993</v>
      </c>
      <c r="F81" t="s">
        <v>18</v>
      </c>
      <c r="G81">
        <v>13.987</v>
      </c>
      <c r="H81">
        <v>1.8</v>
      </c>
      <c r="I81">
        <v>113</v>
      </c>
      <c r="J81" t="str" cm="1">
        <f t="array" ref="J81">_xlfn.IFS(I81&lt;120, "Weak", I81&lt;=200, "Moderate", I81&lt;=300, "Powerful", I81&gt;300, "Super")</f>
        <v>Weak</v>
      </c>
      <c r="K81">
        <v>98.4</v>
      </c>
      <c r="L81">
        <v>66.5</v>
      </c>
      <c r="M81">
        <v>173.6</v>
      </c>
      <c r="N81">
        <v>2.25</v>
      </c>
      <c r="O81">
        <v>13.2</v>
      </c>
      <c r="P81">
        <v>30</v>
      </c>
      <c r="Q81" s="1">
        <v>41022</v>
      </c>
      <c r="R81">
        <v>45.832180559999998</v>
      </c>
    </row>
    <row r="82" spans="1:18" x14ac:dyDescent="0.3">
      <c r="A82" t="s">
        <v>113</v>
      </c>
      <c r="B82" s="6" t="s">
        <v>115</v>
      </c>
      <c r="C82" s="6" t="str">
        <f t="shared" si="1"/>
        <v>High Sales</v>
      </c>
      <c r="D82" s="2">
        <v>42.540999999999997</v>
      </c>
      <c r="E82" s="11">
        <v>10.395</v>
      </c>
      <c r="F82" t="s">
        <v>18</v>
      </c>
      <c r="G82">
        <v>19.047000000000001</v>
      </c>
      <c r="H82">
        <v>2.4</v>
      </c>
      <c r="I82">
        <v>154</v>
      </c>
      <c r="J82" t="str" cm="1">
        <f t="array" ref="J82">_xlfn.IFS(I82&lt;120, "Weak", I82&lt;=200, "Moderate", I82&lt;=300, "Powerful", I82&gt;300, "Super")</f>
        <v>Moderate</v>
      </c>
      <c r="K82">
        <v>100.8</v>
      </c>
      <c r="L82">
        <v>68.900000000000006</v>
      </c>
      <c r="M82">
        <v>175.4</v>
      </c>
      <c r="N82">
        <v>2.91</v>
      </c>
      <c r="O82">
        <v>15.9</v>
      </c>
      <c r="P82">
        <v>24</v>
      </c>
      <c r="Q82" s="1">
        <v>41237</v>
      </c>
      <c r="R82">
        <v>62.441962349999997</v>
      </c>
    </row>
    <row r="83" spans="1:18" x14ac:dyDescent="0.3">
      <c r="A83" t="s">
        <v>113</v>
      </c>
      <c r="B83" s="6" t="s">
        <v>116</v>
      </c>
      <c r="C83" s="6" t="str">
        <f t="shared" si="1"/>
        <v>High Sales</v>
      </c>
      <c r="D83" s="2">
        <v>55.616</v>
      </c>
      <c r="E83" s="11">
        <v>10.595000000000001</v>
      </c>
      <c r="F83" t="s">
        <v>18</v>
      </c>
      <c r="G83">
        <v>17.356999999999999</v>
      </c>
      <c r="H83">
        <v>2.4</v>
      </c>
      <c r="I83">
        <v>145</v>
      </c>
      <c r="J83" t="str" cm="1">
        <f t="array" ref="J83">_xlfn.IFS(I83&lt;120, "Weak", I83&lt;=200, "Moderate", I83&lt;=300, "Powerful", I83&gt;300, "Super")</f>
        <v>Moderate</v>
      </c>
      <c r="K83">
        <v>103.7</v>
      </c>
      <c r="L83">
        <v>68.5</v>
      </c>
      <c r="M83">
        <v>187.8</v>
      </c>
      <c r="N83">
        <v>2.9449999999999998</v>
      </c>
      <c r="O83">
        <v>16.3</v>
      </c>
      <c r="P83">
        <v>25</v>
      </c>
      <c r="Q83" s="1">
        <v>40937</v>
      </c>
      <c r="R83">
        <v>58.606772919999997</v>
      </c>
    </row>
    <row r="84" spans="1:18" x14ac:dyDescent="0.3">
      <c r="A84" t="s">
        <v>113</v>
      </c>
      <c r="B84" s="6" t="s">
        <v>117</v>
      </c>
      <c r="C84" s="6" t="str">
        <f t="shared" si="1"/>
        <v>Low Sales</v>
      </c>
      <c r="D84" s="2">
        <v>5.7110000000000003</v>
      </c>
      <c r="E84" s="11">
        <v>16.574999999999999</v>
      </c>
      <c r="F84" t="s">
        <v>18</v>
      </c>
      <c r="G84">
        <v>24.997</v>
      </c>
      <c r="H84">
        <v>3.5</v>
      </c>
      <c r="I84">
        <v>210</v>
      </c>
      <c r="J84" t="str" cm="1">
        <f t="array" ref="J84">_xlfn.IFS(I84&lt;120, "Weak", I84&lt;=200, "Moderate", I84&lt;=300, "Powerful", I84&gt;300, "Super")</f>
        <v>Powerful</v>
      </c>
      <c r="K84">
        <v>107.1</v>
      </c>
      <c r="L84">
        <v>70.3</v>
      </c>
      <c r="M84">
        <v>194.1</v>
      </c>
      <c r="N84">
        <v>3.4430000000000001</v>
      </c>
      <c r="O84">
        <v>19</v>
      </c>
      <c r="P84">
        <v>22</v>
      </c>
      <c r="Q84" s="1">
        <v>41149</v>
      </c>
      <c r="R84">
        <v>84.83077858</v>
      </c>
    </row>
    <row r="85" spans="1:18" x14ac:dyDescent="0.3">
      <c r="A85" t="s">
        <v>113</v>
      </c>
      <c r="B85" s="6" t="s">
        <v>118</v>
      </c>
      <c r="C85" s="6" t="str">
        <f t="shared" si="1"/>
        <v>Low Sales</v>
      </c>
      <c r="D85" s="2">
        <v>0.11</v>
      </c>
      <c r="E85" s="11">
        <v>20.94</v>
      </c>
      <c r="F85" t="s">
        <v>18</v>
      </c>
      <c r="G85">
        <v>25.45</v>
      </c>
      <c r="H85">
        <v>3</v>
      </c>
      <c r="I85">
        <v>161</v>
      </c>
      <c r="J85" t="str" cm="1">
        <f t="array" ref="J85">_xlfn.IFS(I85&lt;120, "Weak", I85&lt;=200, "Moderate", I85&lt;=300, "Powerful", I85&gt;300, "Super")</f>
        <v>Moderate</v>
      </c>
      <c r="K85">
        <v>97.2</v>
      </c>
      <c r="L85">
        <v>72.400000000000006</v>
      </c>
      <c r="M85">
        <v>180.3</v>
      </c>
      <c r="N85">
        <v>3.1309999999999998</v>
      </c>
      <c r="O85">
        <v>19.8</v>
      </c>
      <c r="P85">
        <v>21</v>
      </c>
      <c r="Q85" s="1">
        <v>41089</v>
      </c>
      <c r="R85">
        <v>67.544154939999999</v>
      </c>
    </row>
    <row r="86" spans="1:18" x14ac:dyDescent="0.3">
      <c r="A86" t="s">
        <v>113</v>
      </c>
      <c r="B86" s="6" t="s">
        <v>119</v>
      </c>
      <c r="C86" s="6" t="str">
        <f t="shared" si="1"/>
        <v>Low Sales</v>
      </c>
      <c r="D86" s="2">
        <v>11.337</v>
      </c>
      <c r="E86" s="11">
        <v>19.125</v>
      </c>
      <c r="F86" t="s">
        <v>41</v>
      </c>
      <c r="G86">
        <v>31.806999999999999</v>
      </c>
      <c r="H86">
        <v>3.5</v>
      </c>
      <c r="I86">
        <v>200</v>
      </c>
      <c r="J86" t="str" cm="1">
        <f t="array" ref="J86">_xlfn.IFS(I86&lt;120, "Weak", I86&lt;=200, "Moderate", I86&lt;=300, "Powerful", I86&gt;300, "Super")</f>
        <v>Moderate</v>
      </c>
      <c r="K86">
        <v>107.3</v>
      </c>
      <c r="L86">
        <v>69.900000000000006</v>
      </c>
      <c r="M86">
        <v>186.6</v>
      </c>
      <c r="N86">
        <v>4.5199999999999996</v>
      </c>
      <c r="O86">
        <v>24.3</v>
      </c>
      <c r="P86">
        <v>18</v>
      </c>
      <c r="Q86" s="1">
        <v>40925</v>
      </c>
      <c r="R86">
        <v>83.920815039999994</v>
      </c>
    </row>
    <row r="87" spans="1:18" x14ac:dyDescent="0.3">
      <c r="A87" t="s">
        <v>113</v>
      </c>
      <c r="B87" s="6" t="s">
        <v>120</v>
      </c>
      <c r="C87" s="6" t="str">
        <f t="shared" si="1"/>
        <v>High Sales</v>
      </c>
      <c r="D87" s="2">
        <v>39.347999999999999</v>
      </c>
      <c r="E87" s="11">
        <v>13.88</v>
      </c>
      <c r="F87" t="s">
        <v>41</v>
      </c>
      <c r="G87">
        <v>22.527000000000001</v>
      </c>
      <c r="H87">
        <v>3</v>
      </c>
      <c r="I87">
        <v>173</v>
      </c>
      <c r="J87" t="str" cm="1">
        <f t="array" ref="J87">_xlfn.IFS(I87&lt;120, "Weak", I87&lt;=200, "Moderate", I87&lt;=300, "Powerful", I87&gt;300, "Super")</f>
        <v>Moderate</v>
      </c>
      <c r="K87">
        <v>107.3</v>
      </c>
      <c r="L87">
        <v>66.7</v>
      </c>
      <c r="M87">
        <v>178.3</v>
      </c>
      <c r="N87">
        <v>3.51</v>
      </c>
      <c r="O87">
        <v>19.5</v>
      </c>
      <c r="P87">
        <v>20</v>
      </c>
      <c r="Q87" s="1">
        <v>41047</v>
      </c>
      <c r="R87">
        <v>70.660941789999995</v>
      </c>
    </row>
    <row r="88" spans="1:18" x14ac:dyDescent="0.3">
      <c r="A88" t="s">
        <v>121</v>
      </c>
      <c r="B88" s="6" t="s">
        <v>122</v>
      </c>
      <c r="C88" s="6" t="str">
        <f t="shared" si="1"/>
        <v>Low Sales</v>
      </c>
      <c r="D88" s="2">
        <v>14.351000000000001</v>
      </c>
      <c r="E88" s="11">
        <v>8.8000000000000007</v>
      </c>
      <c r="F88" t="s">
        <v>18</v>
      </c>
      <c r="G88">
        <v>16.239999999999998</v>
      </c>
      <c r="H88">
        <v>2</v>
      </c>
      <c r="I88">
        <v>125</v>
      </c>
      <c r="J88" t="str" cm="1">
        <f t="array" ref="J88">_xlfn.IFS(I88&lt;120, "Weak", I88&lt;=200, "Moderate", I88&lt;=300, "Powerful", I88&gt;300, "Super")</f>
        <v>Moderate</v>
      </c>
      <c r="K88">
        <v>106.5</v>
      </c>
      <c r="L88">
        <v>69.099999999999994</v>
      </c>
      <c r="M88">
        <v>184.8</v>
      </c>
      <c r="N88">
        <v>2.7690000000000001</v>
      </c>
      <c r="O88">
        <v>15</v>
      </c>
      <c r="P88">
        <v>28</v>
      </c>
      <c r="Q88" s="1">
        <v>41262</v>
      </c>
      <c r="R88">
        <v>50.997747609999998</v>
      </c>
    </row>
    <row r="89" spans="1:18" x14ac:dyDescent="0.3">
      <c r="A89" t="s">
        <v>121</v>
      </c>
      <c r="B89" s="6" t="s">
        <v>123</v>
      </c>
      <c r="C89" s="6" t="str">
        <f t="shared" si="1"/>
        <v>High Sales</v>
      </c>
      <c r="D89" s="2">
        <v>26.529</v>
      </c>
      <c r="E89" s="11">
        <v>13.89</v>
      </c>
      <c r="F89" t="s">
        <v>18</v>
      </c>
      <c r="G89">
        <v>16.54</v>
      </c>
      <c r="H89">
        <v>2</v>
      </c>
      <c r="I89">
        <v>125</v>
      </c>
      <c r="J89" t="str" cm="1">
        <f t="array" ref="J89">_xlfn.IFS(I89&lt;120, "Weak", I89&lt;=200, "Moderate", I89&lt;=300, "Powerful", I89&gt;300, "Super")</f>
        <v>Moderate</v>
      </c>
      <c r="K89">
        <v>106.4</v>
      </c>
      <c r="L89">
        <v>69.599999999999994</v>
      </c>
      <c r="M89">
        <v>185</v>
      </c>
      <c r="N89">
        <v>2.8919999999999999</v>
      </c>
      <c r="O89">
        <v>16</v>
      </c>
      <c r="P89">
        <v>30</v>
      </c>
      <c r="Q89" s="1">
        <v>40962</v>
      </c>
      <c r="R89">
        <v>51.113474259999997</v>
      </c>
    </row>
    <row r="90" spans="1:18" x14ac:dyDescent="0.3">
      <c r="A90" t="s">
        <v>121</v>
      </c>
      <c r="B90" s="6" t="s">
        <v>124</v>
      </c>
      <c r="C90" s="6" t="str">
        <f t="shared" si="1"/>
        <v>High Sales</v>
      </c>
      <c r="D90" s="2">
        <v>67.956000000000003</v>
      </c>
      <c r="E90" s="11">
        <v>11.03</v>
      </c>
      <c r="F90" t="s">
        <v>18</v>
      </c>
      <c r="G90">
        <v>19.035</v>
      </c>
      <c r="H90">
        <v>3</v>
      </c>
      <c r="I90">
        <v>153</v>
      </c>
      <c r="J90" t="str" cm="1">
        <f t="array" ref="J90">_xlfn.IFS(I90&lt;120, "Weak", I90&lt;=200, "Moderate", I90&lt;=300, "Powerful", I90&gt;300, "Super")</f>
        <v>Moderate</v>
      </c>
      <c r="K90">
        <v>108.5</v>
      </c>
      <c r="L90">
        <v>73</v>
      </c>
      <c r="M90">
        <v>199.7</v>
      </c>
      <c r="N90">
        <v>3.379</v>
      </c>
      <c r="O90">
        <v>16</v>
      </c>
      <c r="P90">
        <v>24</v>
      </c>
      <c r="Q90" s="1">
        <v>41174</v>
      </c>
      <c r="R90">
        <v>62.239966629999998</v>
      </c>
    </row>
    <row r="91" spans="1:18" x14ac:dyDescent="0.3">
      <c r="A91" t="s">
        <v>121</v>
      </c>
      <c r="B91" s="6" t="s">
        <v>125</v>
      </c>
      <c r="C91" s="6" t="str">
        <f t="shared" si="1"/>
        <v>High Sales</v>
      </c>
      <c r="D91" s="2">
        <v>81.174000000000007</v>
      </c>
      <c r="E91" s="11">
        <v>14.875</v>
      </c>
      <c r="F91" t="s">
        <v>18</v>
      </c>
      <c r="G91">
        <v>22.605</v>
      </c>
      <c r="H91">
        <v>4.5999999999999996</v>
      </c>
      <c r="I91">
        <v>200</v>
      </c>
      <c r="J91" t="str" cm="1">
        <f t="array" ref="J91">_xlfn.IFS(I91&lt;120, "Weak", I91&lt;=200, "Moderate", I91&lt;=300, "Powerful", I91&gt;300, "Super")</f>
        <v>Moderate</v>
      </c>
      <c r="K91">
        <v>114.7</v>
      </c>
      <c r="L91">
        <v>78.2</v>
      </c>
      <c r="M91">
        <v>212</v>
      </c>
      <c r="N91">
        <v>3.9580000000000002</v>
      </c>
      <c r="O91">
        <v>19</v>
      </c>
      <c r="P91">
        <v>21</v>
      </c>
      <c r="Q91" s="1">
        <v>41114</v>
      </c>
      <c r="R91">
        <v>80.657696459999997</v>
      </c>
    </row>
    <row r="92" spans="1:18" x14ac:dyDescent="0.3">
      <c r="A92" t="s">
        <v>121</v>
      </c>
      <c r="B92" s="6" t="s">
        <v>126</v>
      </c>
      <c r="C92" s="6" t="str">
        <f t="shared" si="1"/>
        <v>High Sales</v>
      </c>
      <c r="D92" s="2">
        <v>27.609000000000002</v>
      </c>
      <c r="E92" s="11">
        <v>20.43</v>
      </c>
      <c r="F92" t="s">
        <v>41</v>
      </c>
      <c r="G92">
        <v>27.56</v>
      </c>
      <c r="H92">
        <v>4</v>
      </c>
      <c r="I92">
        <v>210</v>
      </c>
      <c r="J92" t="str" cm="1">
        <f t="array" ref="J92">_xlfn.IFS(I92&lt;120, "Weak", I92&lt;=200, "Moderate", I92&lt;=300, "Powerful", I92&gt;300, "Super")</f>
        <v>Powerful</v>
      </c>
      <c r="K92">
        <v>111.6</v>
      </c>
      <c r="L92">
        <v>70.2</v>
      </c>
      <c r="M92">
        <v>190.1</v>
      </c>
      <c r="N92">
        <v>3.8759999999999999</v>
      </c>
      <c r="O92">
        <v>21</v>
      </c>
      <c r="P92">
        <v>18</v>
      </c>
      <c r="Q92" s="1">
        <v>39491</v>
      </c>
      <c r="R92">
        <v>85.949744249999995</v>
      </c>
    </row>
    <row r="93" spans="1:18" x14ac:dyDescent="0.3">
      <c r="A93" t="s">
        <v>121</v>
      </c>
      <c r="B93" s="6" t="s">
        <v>127</v>
      </c>
      <c r="C93" s="6" t="str">
        <f t="shared" si="1"/>
        <v>High Sales</v>
      </c>
      <c r="D93" s="2">
        <v>20.38</v>
      </c>
      <c r="E93" s="11">
        <v>14.795</v>
      </c>
      <c r="F93" t="s">
        <v>41</v>
      </c>
      <c r="G93">
        <v>22.51</v>
      </c>
      <c r="H93">
        <v>3.3</v>
      </c>
      <c r="I93">
        <v>170</v>
      </c>
      <c r="J93" t="str" cm="1">
        <f t="array" ref="J93">_xlfn.IFS(I93&lt;120, "Weak", I93&lt;=200, "Moderate", I93&lt;=300, "Powerful", I93&gt;300, "Super")</f>
        <v>Moderate</v>
      </c>
      <c r="K93">
        <v>112.2</v>
      </c>
      <c r="L93">
        <v>74.900000000000006</v>
      </c>
      <c r="M93">
        <v>194.7</v>
      </c>
      <c r="N93">
        <v>3.944</v>
      </c>
      <c r="O93">
        <v>20</v>
      </c>
      <c r="P93">
        <v>21</v>
      </c>
      <c r="Q93" s="1">
        <v>40106</v>
      </c>
      <c r="R93">
        <v>69.671460999999994</v>
      </c>
    </row>
    <row r="94" spans="1:18" x14ac:dyDescent="0.3">
      <c r="A94" t="s">
        <v>128</v>
      </c>
      <c r="B94" s="6" t="s">
        <v>129</v>
      </c>
      <c r="C94" s="6" t="str">
        <f t="shared" si="1"/>
        <v>Low Sales</v>
      </c>
      <c r="D94" s="2">
        <v>18.391999999999999</v>
      </c>
      <c r="E94" s="11">
        <v>26.05</v>
      </c>
      <c r="F94" t="s">
        <v>18</v>
      </c>
      <c r="G94">
        <v>31.75</v>
      </c>
      <c r="H94">
        <v>2.2999999999999998</v>
      </c>
      <c r="I94">
        <v>185</v>
      </c>
      <c r="J94" t="str" cm="1">
        <f t="array" ref="J94">_xlfn.IFS(I94&lt;120, "Weak", I94&lt;=200, "Moderate", I94&lt;=300, "Powerful", I94&gt;300, "Super")</f>
        <v>Moderate</v>
      </c>
      <c r="K94">
        <v>105.9</v>
      </c>
      <c r="L94">
        <v>67.7</v>
      </c>
      <c r="M94">
        <v>177.4</v>
      </c>
      <c r="N94">
        <v>3.25</v>
      </c>
      <c r="O94">
        <v>16.399999999999999</v>
      </c>
      <c r="P94">
        <v>26</v>
      </c>
      <c r="Q94" s="1">
        <v>40657</v>
      </c>
      <c r="R94">
        <v>78.280730879999993</v>
      </c>
    </row>
    <row r="95" spans="1:18" x14ac:dyDescent="0.3">
      <c r="A95" t="s">
        <v>128</v>
      </c>
      <c r="B95" s="6" t="s">
        <v>130</v>
      </c>
      <c r="C95" s="6" t="str">
        <f t="shared" si="1"/>
        <v>High Sales</v>
      </c>
      <c r="D95" s="2">
        <v>27.602</v>
      </c>
      <c r="E95" s="11">
        <v>41.45</v>
      </c>
      <c r="F95" t="s">
        <v>18</v>
      </c>
      <c r="G95">
        <v>49.9</v>
      </c>
      <c r="H95">
        <v>3.2</v>
      </c>
      <c r="I95">
        <v>221</v>
      </c>
      <c r="J95" t="str" cm="1">
        <f t="array" ref="J95">_xlfn.IFS(I95&lt;120, "Weak", I95&lt;=200, "Moderate", I95&lt;=300, "Powerful", I95&gt;300, "Super")</f>
        <v>Powerful</v>
      </c>
      <c r="K95">
        <v>111.5</v>
      </c>
      <c r="L95">
        <v>70.8</v>
      </c>
      <c r="M95">
        <v>189.4</v>
      </c>
      <c r="N95">
        <v>3.823</v>
      </c>
      <c r="O95">
        <v>21.1</v>
      </c>
      <c r="P95">
        <v>25</v>
      </c>
      <c r="Q95" s="1">
        <v>40736</v>
      </c>
      <c r="R95">
        <v>98.249737499999995</v>
      </c>
    </row>
    <row r="96" spans="1:18" x14ac:dyDescent="0.3">
      <c r="A96" t="s">
        <v>128</v>
      </c>
      <c r="B96" s="6" t="s">
        <v>131</v>
      </c>
      <c r="C96" s="6" t="str">
        <f t="shared" si="1"/>
        <v>Low Sales</v>
      </c>
      <c r="D96" s="2">
        <v>16.774000000000001</v>
      </c>
      <c r="E96" s="11">
        <v>50.375</v>
      </c>
      <c r="F96" t="s">
        <v>18</v>
      </c>
      <c r="G96">
        <v>69.7</v>
      </c>
      <c r="H96">
        <v>4.3</v>
      </c>
      <c r="I96">
        <v>275</v>
      </c>
      <c r="J96" t="str" cm="1">
        <f t="array" ref="J96">_xlfn.IFS(I96&lt;120, "Weak", I96&lt;=200, "Moderate", I96&lt;=300, "Powerful", I96&gt;300, "Super")</f>
        <v>Powerful</v>
      </c>
      <c r="K96">
        <v>121.5</v>
      </c>
      <c r="L96">
        <v>73.099999999999994</v>
      </c>
      <c r="M96">
        <v>203.1</v>
      </c>
      <c r="N96">
        <v>4.133</v>
      </c>
      <c r="O96">
        <v>23.2</v>
      </c>
      <c r="P96">
        <v>21</v>
      </c>
      <c r="Q96" s="1">
        <v>40707</v>
      </c>
      <c r="R96">
        <v>125.2738757</v>
      </c>
    </row>
    <row r="97" spans="1:18" x14ac:dyDescent="0.3">
      <c r="A97" t="s">
        <v>128</v>
      </c>
      <c r="B97" s="6" t="s">
        <v>132</v>
      </c>
      <c r="C97" s="6" t="str">
        <f t="shared" si="1"/>
        <v>Low Sales</v>
      </c>
      <c r="D97" s="2">
        <v>3.3109999999999999</v>
      </c>
      <c r="E97" s="11">
        <v>58.6</v>
      </c>
      <c r="F97" t="s">
        <v>18</v>
      </c>
      <c r="G97">
        <v>82.6</v>
      </c>
      <c r="H97">
        <v>5</v>
      </c>
      <c r="I97">
        <v>302</v>
      </c>
      <c r="J97" t="str" cm="1">
        <f t="array" ref="J97">_xlfn.IFS(I97&lt;120, "Weak", I97&lt;=200, "Moderate", I97&lt;=300, "Powerful", I97&gt;300, "Super")</f>
        <v>Super</v>
      </c>
      <c r="K97">
        <v>99</v>
      </c>
      <c r="L97">
        <v>71.3</v>
      </c>
      <c r="M97">
        <v>177.1</v>
      </c>
      <c r="N97">
        <v>4.125</v>
      </c>
      <c r="O97">
        <v>21.1</v>
      </c>
      <c r="P97">
        <v>20</v>
      </c>
      <c r="Q97" s="1">
        <v>40619</v>
      </c>
      <c r="R97">
        <v>139.98229359999999</v>
      </c>
    </row>
    <row r="98" spans="1:18" x14ac:dyDescent="0.3">
      <c r="A98" t="s">
        <v>128</v>
      </c>
      <c r="B98" s="6" t="s">
        <v>133</v>
      </c>
      <c r="C98" s="6" t="str">
        <f t="shared" si="1"/>
        <v>Low Sales</v>
      </c>
      <c r="D98" s="2">
        <v>7.9980000000000002</v>
      </c>
      <c r="E98" s="11"/>
      <c r="F98" t="s">
        <v>18</v>
      </c>
      <c r="G98">
        <v>38.9</v>
      </c>
      <c r="H98">
        <v>2.2999999999999998</v>
      </c>
      <c r="I98">
        <v>190</v>
      </c>
      <c r="J98" t="str" cm="1">
        <f t="array" ref="J98">_xlfn.IFS(I98&lt;120, "Weak", I98&lt;=200, "Moderate", I98&lt;=300, "Powerful", I98&gt;300, "Super")</f>
        <v>Moderate</v>
      </c>
      <c r="K98">
        <v>94.5</v>
      </c>
      <c r="L98">
        <v>67.5</v>
      </c>
      <c r="M98">
        <v>157.9</v>
      </c>
      <c r="N98">
        <v>3.0550000000000002</v>
      </c>
      <c r="O98">
        <v>15.9</v>
      </c>
      <c r="P98">
        <v>26</v>
      </c>
      <c r="Q98" s="1">
        <v>40559</v>
      </c>
      <c r="R98">
        <v>82.807361929999999</v>
      </c>
    </row>
    <row r="99" spans="1:18" x14ac:dyDescent="0.3">
      <c r="A99" t="s">
        <v>128</v>
      </c>
      <c r="B99" s="6" t="s">
        <v>134</v>
      </c>
      <c r="C99" s="6" t="str">
        <f t="shared" si="1"/>
        <v>Low Sales</v>
      </c>
      <c r="D99" s="2">
        <v>1.526</v>
      </c>
      <c r="E99" s="11"/>
      <c r="F99" t="s">
        <v>18</v>
      </c>
      <c r="G99">
        <v>41</v>
      </c>
      <c r="H99">
        <v>2.2999999999999998</v>
      </c>
      <c r="I99">
        <v>185</v>
      </c>
      <c r="J99" t="str" cm="1">
        <f t="array" ref="J99">_xlfn.IFS(I99&lt;120, "Weak", I99&lt;=200, "Moderate", I99&lt;=300, "Powerful", I99&gt;300, "Super")</f>
        <v>Moderate</v>
      </c>
      <c r="K99">
        <v>94.5</v>
      </c>
      <c r="L99">
        <v>67.5</v>
      </c>
      <c r="M99">
        <v>157.30000000000001</v>
      </c>
      <c r="N99">
        <v>2.9750000000000001</v>
      </c>
      <c r="O99">
        <v>14</v>
      </c>
      <c r="P99">
        <v>27</v>
      </c>
      <c r="Q99" s="1">
        <v>40761</v>
      </c>
      <c r="R99">
        <v>81.848969240000002</v>
      </c>
    </row>
    <row r="100" spans="1:18" x14ac:dyDescent="0.3">
      <c r="A100" t="s">
        <v>128</v>
      </c>
      <c r="B100" s="6" t="s">
        <v>135</v>
      </c>
      <c r="C100" s="6" t="str">
        <f t="shared" si="1"/>
        <v>Low Sales</v>
      </c>
      <c r="D100" s="2">
        <v>11.592000000000001</v>
      </c>
      <c r="E100" s="11"/>
      <c r="F100" t="s">
        <v>18</v>
      </c>
      <c r="G100">
        <v>41.6</v>
      </c>
      <c r="H100">
        <v>3.2</v>
      </c>
      <c r="I100">
        <v>215</v>
      </c>
      <c r="J100" t="str" cm="1">
        <f t="array" ref="J100">_xlfn.IFS(I100&lt;120, "Weak", I100&lt;=200, "Moderate", I100&lt;=300, "Powerful", I100&gt;300, "Super")</f>
        <v>Powerful</v>
      </c>
      <c r="K100">
        <v>105.9</v>
      </c>
      <c r="L100">
        <v>67.8</v>
      </c>
      <c r="M100">
        <v>180.3</v>
      </c>
      <c r="N100">
        <v>3.2130000000000001</v>
      </c>
      <c r="O100">
        <v>16.399999999999999</v>
      </c>
      <c r="P100">
        <v>26</v>
      </c>
      <c r="Q100" s="1">
        <v>40732</v>
      </c>
      <c r="R100">
        <v>92.925791770000004</v>
      </c>
    </row>
    <row r="101" spans="1:18" x14ac:dyDescent="0.3">
      <c r="A101" t="s">
        <v>128</v>
      </c>
      <c r="B101" s="6" t="s">
        <v>136</v>
      </c>
      <c r="C101" s="6" t="str">
        <f t="shared" si="1"/>
        <v>Low Sales</v>
      </c>
      <c r="D101" s="2">
        <v>0.95399999999999996</v>
      </c>
      <c r="E101" s="11"/>
      <c r="F101" t="s">
        <v>18</v>
      </c>
      <c r="G101">
        <v>85.5</v>
      </c>
      <c r="H101">
        <v>5</v>
      </c>
      <c r="I101">
        <v>302</v>
      </c>
      <c r="J101" t="str" cm="1">
        <f t="array" ref="J101">_xlfn.IFS(I101&lt;120, "Weak", I101&lt;=200, "Moderate", I101&lt;=300, "Powerful", I101&gt;300, "Super")</f>
        <v>Super</v>
      </c>
      <c r="K101">
        <v>113.6</v>
      </c>
      <c r="L101">
        <v>73.099999999999994</v>
      </c>
      <c r="M101">
        <v>196.6</v>
      </c>
      <c r="N101">
        <v>4.1150000000000002</v>
      </c>
      <c r="O101">
        <v>23.2</v>
      </c>
      <c r="P101">
        <v>20</v>
      </c>
      <c r="Q101" s="1">
        <v>40644</v>
      </c>
      <c r="R101">
        <v>141.10098450000001</v>
      </c>
    </row>
    <row r="102" spans="1:18" x14ac:dyDescent="0.3">
      <c r="A102" t="s">
        <v>128</v>
      </c>
      <c r="B102" s="6" t="s">
        <v>137</v>
      </c>
      <c r="C102" s="6" t="str">
        <f t="shared" si="1"/>
        <v>High Sales</v>
      </c>
      <c r="D102" s="2">
        <v>28.975999999999999</v>
      </c>
      <c r="E102" s="11"/>
      <c r="F102" t="s">
        <v>41</v>
      </c>
      <c r="G102">
        <v>35.299999999999997</v>
      </c>
      <c r="H102">
        <v>3.2</v>
      </c>
      <c r="I102">
        <v>215</v>
      </c>
      <c r="J102" t="str" cm="1">
        <f t="array" ref="J102">_xlfn.IFS(I102&lt;120, "Weak", I102&lt;=200, "Moderate", I102&lt;=300, "Powerful", I102&gt;300, "Super")</f>
        <v>Powerful</v>
      </c>
      <c r="K102">
        <v>111</v>
      </c>
      <c r="L102">
        <v>72.2</v>
      </c>
      <c r="M102">
        <v>180.6</v>
      </c>
      <c r="N102">
        <v>4.3869999999999996</v>
      </c>
      <c r="O102">
        <v>19</v>
      </c>
      <c r="P102">
        <v>20</v>
      </c>
      <c r="Q102" s="1">
        <v>40584</v>
      </c>
      <c r="R102">
        <v>90.495532130000001</v>
      </c>
    </row>
    <row r="103" spans="1:18" x14ac:dyDescent="0.3">
      <c r="A103" t="s">
        <v>138</v>
      </c>
      <c r="B103" s="6" t="s">
        <v>139</v>
      </c>
      <c r="C103" s="6" t="str">
        <f t="shared" si="1"/>
        <v>High Sales</v>
      </c>
      <c r="D103" s="2">
        <v>42.643000000000001</v>
      </c>
      <c r="E103" s="11">
        <v>8.4499999999999993</v>
      </c>
      <c r="F103" t="s">
        <v>18</v>
      </c>
      <c r="G103">
        <v>13.499000000000001</v>
      </c>
      <c r="H103">
        <v>1.8</v>
      </c>
      <c r="I103">
        <v>126</v>
      </c>
      <c r="J103" t="str" cm="1">
        <f t="array" ref="J103">_xlfn.IFS(I103&lt;120, "Weak", I103&lt;=200, "Moderate", I103&lt;=300, "Powerful", I103&gt;300, "Super")</f>
        <v>Moderate</v>
      </c>
      <c r="K103">
        <v>99.8</v>
      </c>
      <c r="L103">
        <v>67.3</v>
      </c>
      <c r="M103">
        <v>177.5</v>
      </c>
      <c r="N103">
        <v>2.593</v>
      </c>
      <c r="O103">
        <v>13.2</v>
      </c>
      <c r="P103">
        <v>30</v>
      </c>
      <c r="Q103" s="1">
        <v>40786</v>
      </c>
      <c r="R103">
        <v>50.241977910000003</v>
      </c>
    </row>
    <row r="104" spans="1:18" x14ac:dyDescent="0.3">
      <c r="A104" t="s">
        <v>138</v>
      </c>
      <c r="B104" s="6" t="s">
        <v>140</v>
      </c>
      <c r="C104" s="6" t="str">
        <f t="shared" si="1"/>
        <v>High Sales</v>
      </c>
      <c r="D104" s="2">
        <v>88.093999999999994</v>
      </c>
      <c r="E104" s="11">
        <v>11.295</v>
      </c>
      <c r="F104" t="s">
        <v>18</v>
      </c>
      <c r="G104">
        <v>20.39</v>
      </c>
      <c r="H104">
        <v>2.4</v>
      </c>
      <c r="I104">
        <v>155</v>
      </c>
      <c r="J104" t="str" cm="1">
        <f t="array" ref="J104">_xlfn.IFS(I104&lt;120, "Weak", I104&lt;=200, "Moderate", I104&lt;=300, "Powerful", I104&gt;300, "Super")</f>
        <v>Moderate</v>
      </c>
      <c r="K104">
        <v>103.1</v>
      </c>
      <c r="L104">
        <v>69.099999999999994</v>
      </c>
      <c r="M104">
        <v>183.5</v>
      </c>
      <c r="N104">
        <v>3.012</v>
      </c>
      <c r="O104">
        <v>15.9</v>
      </c>
      <c r="P104">
        <v>25</v>
      </c>
      <c r="Q104" s="1">
        <v>40757</v>
      </c>
      <c r="R104">
        <v>63.313727829999998</v>
      </c>
    </row>
    <row r="105" spans="1:18" x14ac:dyDescent="0.3">
      <c r="A105" t="s">
        <v>138</v>
      </c>
      <c r="B105" s="6" t="s">
        <v>141</v>
      </c>
      <c r="C105" s="6" t="str">
        <f t="shared" si="1"/>
        <v>High Sales</v>
      </c>
      <c r="D105" s="2">
        <v>79.852999999999994</v>
      </c>
      <c r="E105" s="11">
        <v>15.125</v>
      </c>
      <c r="F105" t="s">
        <v>18</v>
      </c>
      <c r="G105">
        <v>26.248999999999999</v>
      </c>
      <c r="H105">
        <v>3</v>
      </c>
      <c r="I105">
        <v>222</v>
      </c>
      <c r="J105" t="str" cm="1">
        <f t="array" ref="J105">_xlfn.IFS(I105&lt;120, "Weak", I105&lt;=200, "Moderate", I105&lt;=300, "Powerful", I105&gt;300, "Super")</f>
        <v>Powerful</v>
      </c>
      <c r="K105">
        <v>108.3</v>
      </c>
      <c r="L105">
        <v>70.3</v>
      </c>
      <c r="M105">
        <v>190.5</v>
      </c>
      <c r="N105">
        <v>3.294</v>
      </c>
      <c r="O105">
        <v>18.5</v>
      </c>
      <c r="P105">
        <v>25</v>
      </c>
      <c r="Q105" s="1">
        <v>40669</v>
      </c>
      <c r="R105">
        <v>89.427820310000001</v>
      </c>
    </row>
    <row r="106" spans="1:18" x14ac:dyDescent="0.3">
      <c r="A106" t="s">
        <v>138</v>
      </c>
      <c r="B106" s="6" t="s">
        <v>142</v>
      </c>
      <c r="C106" s="6" t="str">
        <f t="shared" si="1"/>
        <v>High Sales</v>
      </c>
      <c r="D106" s="2">
        <v>27.308</v>
      </c>
      <c r="E106" s="11">
        <v>15.38</v>
      </c>
      <c r="F106" t="s">
        <v>41</v>
      </c>
      <c r="G106">
        <v>26.399000000000001</v>
      </c>
      <c r="H106">
        <v>3.3</v>
      </c>
      <c r="I106">
        <v>170</v>
      </c>
      <c r="J106" t="str" cm="1">
        <f t="array" ref="J106">_xlfn.IFS(I106&lt;120, "Weak", I106&lt;=200, "Moderate", I106&lt;=300, "Powerful", I106&gt;300, "Super")</f>
        <v>Moderate</v>
      </c>
      <c r="K106">
        <v>112.2</v>
      </c>
      <c r="L106">
        <v>74.900000000000006</v>
      </c>
      <c r="M106">
        <v>194.8</v>
      </c>
      <c r="N106">
        <v>3.9910000000000001</v>
      </c>
      <c r="O106">
        <v>20</v>
      </c>
      <c r="P106">
        <v>21</v>
      </c>
      <c r="Q106" s="1">
        <v>40609</v>
      </c>
      <c r="R106">
        <v>71.171664129999996</v>
      </c>
    </row>
    <row r="107" spans="1:18" x14ac:dyDescent="0.3">
      <c r="A107" t="s">
        <v>138</v>
      </c>
      <c r="B107" s="6" t="s">
        <v>143</v>
      </c>
      <c r="C107" s="6" t="str">
        <f t="shared" si="1"/>
        <v>High Sales</v>
      </c>
      <c r="D107" s="2">
        <v>42.573999999999998</v>
      </c>
      <c r="E107" s="11">
        <v>17.809999999999999</v>
      </c>
      <c r="F107" t="s">
        <v>41</v>
      </c>
      <c r="G107">
        <v>29.298999999999999</v>
      </c>
      <c r="H107">
        <v>3.3</v>
      </c>
      <c r="I107">
        <v>170</v>
      </c>
      <c r="J107" t="str" cm="1">
        <f t="array" ref="J107">_xlfn.IFS(I107&lt;120, "Weak", I107&lt;=200, "Moderate", I107&lt;=300, "Powerful", I107&gt;300, "Super")</f>
        <v>Moderate</v>
      </c>
      <c r="K107">
        <v>106.3</v>
      </c>
      <c r="L107">
        <v>71.7</v>
      </c>
      <c r="M107">
        <v>182.6</v>
      </c>
      <c r="N107">
        <v>3.9470000000000001</v>
      </c>
      <c r="O107">
        <v>21</v>
      </c>
      <c r="P107">
        <v>19</v>
      </c>
      <c r="Q107" s="1">
        <v>40811</v>
      </c>
      <c r="R107">
        <v>72.290355079999998</v>
      </c>
    </row>
    <row r="108" spans="1:18" x14ac:dyDescent="0.3">
      <c r="A108" t="s">
        <v>138</v>
      </c>
      <c r="B108" s="6" t="s">
        <v>144</v>
      </c>
      <c r="C108" s="6" t="str">
        <f t="shared" si="1"/>
        <v>High Sales</v>
      </c>
      <c r="D108" s="2">
        <v>54.158000000000001</v>
      </c>
      <c r="E108" s="11"/>
      <c r="F108" t="s">
        <v>41</v>
      </c>
      <c r="G108">
        <v>22.798999999999999</v>
      </c>
      <c r="H108">
        <v>3.3</v>
      </c>
      <c r="I108">
        <v>170</v>
      </c>
      <c r="J108" t="str" cm="1">
        <f t="array" ref="J108">_xlfn.IFS(I108&lt;120, "Weak", I108&lt;=200, "Moderate", I108&lt;=300, "Powerful", I108&gt;300, "Super")</f>
        <v>Moderate</v>
      </c>
      <c r="K108">
        <v>104.3</v>
      </c>
      <c r="L108">
        <v>70.400000000000006</v>
      </c>
      <c r="M108">
        <v>178</v>
      </c>
      <c r="N108">
        <v>3.8210000000000002</v>
      </c>
      <c r="O108">
        <v>19.399999999999999</v>
      </c>
      <c r="P108">
        <v>18</v>
      </c>
      <c r="Q108" s="1">
        <v>40567</v>
      </c>
      <c r="R108">
        <v>69.78294434</v>
      </c>
    </row>
    <row r="109" spans="1:18" x14ac:dyDescent="0.3">
      <c r="A109" t="s">
        <v>138</v>
      </c>
      <c r="B109" s="6" t="s">
        <v>145</v>
      </c>
      <c r="C109" s="6" t="str">
        <f t="shared" si="1"/>
        <v>High Sales</v>
      </c>
      <c r="D109" s="2">
        <v>65.004999999999995</v>
      </c>
      <c r="E109" s="11"/>
      <c r="F109" t="s">
        <v>41</v>
      </c>
      <c r="G109">
        <v>17.89</v>
      </c>
      <c r="H109">
        <v>3.3</v>
      </c>
      <c r="I109">
        <v>170</v>
      </c>
      <c r="J109" t="str" cm="1">
        <f t="array" ref="J109">_xlfn.IFS(I109&lt;120, "Weak", I109&lt;=200, "Moderate", I109&lt;=300, "Powerful", I109&gt;300, "Super")</f>
        <v>Moderate</v>
      </c>
      <c r="K109">
        <v>116.1</v>
      </c>
      <c r="L109">
        <v>66.5</v>
      </c>
      <c r="M109">
        <v>196.1</v>
      </c>
      <c r="N109">
        <v>3.2170000000000001</v>
      </c>
      <c r="O109">
        <v>19.399999999999999</v>
      </c>
      <c r="P109">
        <v>18</v>
      </c>
      <c r="Q109" s="1">
        <v>40782</v>
      </c>
      <c r="R109">
        <v>67.889270589999995</v>
      </c>
    </row>
    <row r="110" spans="1:18" x14ac:dyDescent="0.3">
      <c r="A110" t="s">
        <v>146</v>
      </c>
      <c r="B110" s="6" t="s">
        <v>147</v>
      </c>
      <c r="C110" s="6" t="str">
        <f t="shared" si="1"/>
        <v>Low Sales</v>
      </c>
      <c r="D110" s="2">
        <v>1.1120000000000001</v>
      </c>
      <c r="E110" s="11">
        <v>11.24</v>
      </c>
      <c r="F110" t="s">
        <v>18</v>
      </c>
      <c r="G110">
        <v>18.145</v>
      </c>
      <c r="H110">
        <v>3.1</v>
      </c>
      <c r="I110">
        <v>150</v>
      </c>
      <c r="J110" t="str" cm="1">
        <f t="array" ref="J110">_xlfn.IFS(I110&lt;120, "Weak", I110&lt;=200, "Moderate", I110&lt;=300, "Powerful", I110&gt;300, "Super")</f>
        <v>Moderate</v>
      </c>
      <c r="K110">
        <v>107</v>
      </c>
      <c r="L110">
        <v>69.400000000000006</v>
      </c>
      <c r="M110">
        <v>192</v>
      </c>
      <c r="N110">
        <v>3.1019999999999999</v>
      </c>
      <c r="O110">
        <v>15.2</v>
      </c>
      <c r="P110">
        <v>25</v>
      </c>
      <c r="Q110" s="1">
        <v>40694</v>
      </c>
      <c r="R110">
        <v>60.861611549999999</v>
      </c>
    </row>
    <row r="111" spans="1:18" x14ac:dyDescent="0.3">
      <c r="A111" t="s">
        <v>146</v>
      </c>
      <c r="B111" s="6" t="s">
        <v>148</v>
      </c>
      <c r="C111" s="6" t="str">
        <f t="shared" si="1"/>
        <v>High Sales</v>
      </c>
      <c r="D111" s="2">
        <v>38.554000000000002</v>
      </c>
      <c r="E111" s="11"/>
      <c r="F111" t="s">
        <v>18</v>
      </c>
      <c r="G111">
        <v>24.15</v>
      </c>
      <c r="H111">
        <v>3.5</v>
      </c>
      <c r="I111">
        <v>215</v>
      </c>
      <c r="J111" t="str" cm="1">
        <f t="array" ref="J111">_xlfn.IFS(I111&lt;120, "Weak", I111&lt;=200, "Moderate", I111&lt;=300, "Powerful", I111&gt;300, "Super")</f>
        <v>Powerful</v>
      </c>
      <c r="K111">
        <v>109</v>
      </c>
      <c r="L111">
        <v>73.599999999999994</v>
      </c>
      <c r="M111">
        <v>195.9</v>
      </c>
      <c r="N111">
        <v>3.4550000000000001</v>
      </c>
      <c r="O111">
        <v>18</v>
      </c>
      <c r="Q111" s="1">
        <v>40634</v>
      </c>
      <c r="R111">
        <v>86.272522910000006</v>
      </c>
    </row>
    <row r="112" spans="1:18" x14ac:dyDescent="0.3">
      <c r="A112" t="s">
        <v>146</v>
      </c>
      <c r="B112" s="6" t="s">
        <v>149</v>
      </c>
      <c r="C112" s="6" t="str">
        <f t="shared" si="1"/>
        <v>High Sales</v>
      </c>
      <c r="D112" s="2">
        <v>80.254999999999995</v>
      </c>
      <c r="E112" s="11"/>
      <c r="F112" t="s">
        <v>18</v>
      </c>
      <c r="G112">
        <v>18.27</v>
      </c>
      <c r="H112">
        <v>2.4</v>
      </c>
      <c r="I112">
        <v>150</v>
      </c>
      <c r="J112" t="str" cm="1">
        <f t="array" ref="J112">_xlfn.IFS(I112&lt;120, "Weak", I112&lt;=200, "Moderate", I112&lt;=300, "Powerful", I112&gt;300, "Super")</f>
        <v>Moderate</v>
      </c>
      <c r="K112">
        <v>107</v>
      </c>
      <c r="L112">
        <v>70.099999999999994</v>
      </c>
      <c r="M112">
        <v>186.7</v>
      </c>
      <c r="N112">
        <v>2.9580000000000002</v>
      </c>
      <c r="O112">
        <v>15</v>
      </c>
      <c r="P112">
        <v>27</v>
      </c>
      <c r="Q112" s="1">
        <v>40106</v>
      </c>
      <c r="R112">
        <v>60.727446929999999</v>
      </c>
    </row>
    <row r="113" spans="1:18" x14ac:dyDescent="0.3">
      <c r="A113" t="s">
        <v>146</v>
      </c>
      <c r="B113" s="6" t="s">
        <v>150</v>
      </c>
      <c r="C113" s="6" t="str">
        <f t="shared" si="1"/>
        <v>Low Sales</v>
      </c>
      <c r="D113" s="2">
        <v>14.69</v>
      </c>
      <c r="E113" s="11">
        <v>19.89</v>
      </c>
      <c r="F113" t="s">
        <v>18</v>
      </c>
      <c r="G113">
        <v>36.228999999999999</v>
      </c>
      <c r="H113">
        <v>4</v>
      </c>
      <c r="I113">
        <v>250</v>
      </c>
      <c r="J113" t="str" cm="1">
        <f t="array" ref="J113">_xlfn.IFS(I113&lt;120, "Weak", I113&lt;=200, "Moderate", I113&lt;=300, "Powerful", I113&gt;300, "Super")</f>
        <v>Powerful</v>
      </c>
      <c r="K113">
        <v>113.8</v>
      </c>
      <c r="L113">
        <v>74.400000000000006</v>
      </c>
      <c r="M113">
        <v>205.4</v>
      </c>
      <c r="N113">
        <v>3.9670000000000001</v>
      </c>
      <c r="O113">
        <v>18.5</v>
      </c>
      <c r="P113">
        <v>22</v>
      </c>
      <c r="Q113" s="1">
        <v>40592</v>
      </c>
      <c r="R113">
        <v>103.4416926</v>
      </c>
    </row>
    <row r="114" spans="1:18" x14ac:dyDescent="0.3">
      <c r="A114" t="s">
        <v>146</v>
      </c>
      <c r="B114" s="6" t="s">
        <v>151</v>
      </c>
      <c r="C114" s="6" t="str">
        <f t="shared" si="1"/>
        <v>High Sales</v>
      </c>
      <c r="D114" s="2">
        <v>20.016999999999999</v>
      </c>
      <c r="E114" s="11">
        <v>19.925000000000001</v>
      </c>
      <c r="F114" t="s">
        <v>41</v>
      </c>
      <c r="G114">
        <v>31.597999999999999</v>
      </c>
      <c r="H114">
        <v>4.3</v>
      </c>
      <c r="I114">
        <v>190</v>
      </c>
      <c r="J114" t="str" cm="1">
        <f t="array" ref="J114">_xlfn.IFS(I114&lt;120, "Weak", I114&lt;=200, "Moderate", I114&lt;=300, "Powerful", I114&gt;300, "Super")</f>
        <v>Moderate</v>
      </c>
      <c r="K114">
        <v>107</v>
      </c>
      <c r="L114">
        <v>67.8</v>
      </c>
      <c r="M114">
        <v>181.2</v>
      </c>
      <c r="N114">
        <v>4.0679999999999996</v>
      </c>
      <c r="O114">
        <v>17.5</v>
      </c>
      <c r="P114">
        <v>19</v>
      </c>
      <c r="Q114" s="1">
        <v>40807</v>
      </c>
      <c r="R114">
        <v>80.511672590000003</v>
      </c>
    </row>
    <row r="115" spans="1:18" x14ac:dyDescent="0.3">
      <c r="A115" t="s">
        <v>146</v>
      </c>
      <c r="B115" s="6" t="s">
        <v>152</v>
      </c>
      <c r="C115" s="6" t="str">
        <f t="shared" si="1"/>
        <v>High Sales</v>
      </c>
      <c r="D115" s="2">
        <v>24.361000000000001</v>
      </c>
      <c r="E115" s="11">
        <v>15.24</v>
      </c>
      <c r="F115" t="s">
        <v>41</v>
      </c>
      <c r="G115">
        <v>25.344999999999999</v>
      </c>
      <c r="H115">
        <v>3.4</v>
      </c>
      <c r="I115">
        <v>185</v>
      </c>
      <c r="J115" t="str" cm="1">
        <f t="array" ref="J115">_xlfn.IFS(I115&lt;120, "Weak", I115&lt;=200, "Moderate", I115&lt;=300, "Powerful", I115&gt;300, "Super")</f>
        <v>Moderate</v>
      </c>
      <c r="K115">
        <v>120</v>
      </c>
      <c r="L115">
        <v>72.2</v>
      </c>
      <c r="M115">
        <v>201.4</v>
      </c>
      <c r="N115">
        <v>3.948</v>
      </c>
      <c r="O115">
        <v>25</v>
      </c>
      <c r="P115">
        <v>22</v>
      </c>
      <c r="Q115" s="1">
        <v>40719</v>
      </c>
      <c r="R115">
        <v>76.096570420000006</v>
      </c>
    </row>
    <row r="116" spans="1:18" x14ac:dyDescent="0.3">
      <c r="A116" t="s">
        <v>153</v>
      </c>
      <c r="B116" s="6" t="s">
        <v>61</v>
      </c>
      <c r="C116" s="6" t="str">
        <f t="shared" si="1"/>
        <v>High Sales</v>
      </c>
      <c r="D116" s="2">
        <v>32.734000000000002</v>
      </c>
      <c r="E116" s="11">
        <v>7.75</v>
      </c>
      <c r="F116" t="s">
        <v>18</v>
      </c>
      <c r="G116">
        <v>12.64</v>
      </c>
      <c r="H116">
        <v>2</v>
      </c>
      <c r="I116">
        <v>132</v>
      </c>
      <c r="J116" t="str" cm="1">
        <f t="array" ref="J116">_xlfn.IFS(I116&lt;120, "Weak", I116&lt;=200, "Moderate", I116&lt;=300, "Powerful", I116&gt;300, "Super")</f>
        <v>Moderate</v>
      </c>
      <c r="K116">
        <v>105</v>
      </c>
      <c r="L116">
        <v>74.400000000000006</v>
      </c>
      <c r="M116">
        <v>174.4</v>
      </c>
      <c r="N116">
        <v>2.5590000000000002</v>
      </c>
      <c r="O116">
        <v>12.5</v>
      </c>
      <c r="P116">
        <v>29</v>
      </c>
      <c r="Q116" s="1">
        <v>40659</v>
      </c>
      <c r="R116">
        <v>52.084898750000001</v>
      </c>
    </row>
    <row r="117" spans="1:18" x14ac:dyDescent="0.3">
      <c r="A117" t="s">
        <v>153</v>
      </c>
      <c r="B117" s="6" t="s">
        <v>154</v>
      </c>
      <c r="C117" s="6" t="str">
        <f t="shared" si="1"/>
        <v>Low Sales</v>
      </c>
      <c r="D117" s="2">
        <v>5.24</v>
      </c>
      <c r="E117" s="11">
        <v>9.8000000000000007</v>
      </c>
      <c r="F117" t="s">
        <v>18</v>
      </c>
      <c r="G117">
        <v>16.079999999999998</v>
      </c>
      <c r="H117">
        <v>2</v>
      </c>
      <c r="I117">
        <v>132</v>
      </c>
      <c r="J117" t="str" cm="1">
        <f t="array" ref="J117">_xlfn.IFS(I117&lt;120, "Weak", I117&lt;=200, "Moderate", I117&lt;=300, "Powerful", I117&gt;300, "Super")</f>
        <v>Moderate</v>
      </c>
      <c r="K117">
        <v>108</v>
      </c>
      <c r="L117">
        <v>71</v>
      </c>
      <c r="M117">
        <v>186.3</v>
      </c>
      <c r="N117">
        <v>2.9420000000000002</v>
      </c>
      <c r="O117">
        <v>16</v>
      </c>
      <c r="P117">
        <v>27</v>
      </c>
      <c r="Q117" s="1">
        <v>40861</v>
      </c>
      <c r="R117">
        <v>53.411897670000002</v>
      </c>
    </row>
    <row r="118" spans="1:18" x14ac:dyDescent="0.3">
      <c r="A118" t="s">
        <v>153</v>
      </c>
      <c r="B118" s="6" t="s">
        <v>155</v>
      </c>
      <c r="C118" s="6" t="str">
        <f t="shared" si="1"/>
        <v>High Sales</v>
      </c>
      <c r="D118" s="2">
        <v>24.155000000000001</v>
      </c>
      <c r="E118" s="11">
        <v>12.025</v>
      </c>
      <c r="F118" t="s">
        <v>41</v>
      </c>
      <c r="G118">
        <v>18.850000000000001</v>
      </c>
      <c r="H118">
        <v>2.4</v>
      </c>
      <c r="I118">
        <v>150</v>
      </c>
      <c r="J118" t="str" cm="1">
        <f t="array" ref="J118">_xlfn.IFS(I118&lt;120, "Weak", I118&lt;=200, "Moderate", I118&lt;=300, "Powerful", I118&gt;300, "Super")</f>
        <v>Moderate</v>
      </c>
      <c r="K118">
        <v>113.3</v>
      </c>
      <c r="L118">
        <v>76.8</v>
      </c>
      <c r="M118">
        <v>186.3</v>
      </c>
      <c r="N118">
        <v>3.528</v>
      </c>
      <c r="O118">
        <v>20</v>
      </c>
      <c r="P118">
        <v>24</v>
      </c>
      <c r="Q118" s="1">
        <v>40657</v>
      </c>
      <c r="R118">
        <v>60.951185119999998</v>
      </c>
    </row>
    <row r="119" spans="1:18" x14ac:dyDescent="0.3">
      <c r="A119" t="s">
        <v>153</v>
      </c>
      <c r="B119" s="6" t="s">
        <v>156</v>
      </c>
      <c r="C119" s="6" t="str">
        <f t="shared" si="1"/>
        <v>Low Sales</v>
      </c>
      <c r="D119" s="2">
        <v>1.8720000000000001</v>
      </c>
      <c r="E119" s="11"/>
      <c r="F119" t="s">
        <v>18</v>
      </c>
      <c r="G119">
        <v>43</v>
      </c>
      <c r="H119">
        <v>3.5</v>
      </c>
      <c r="I119">
        <v>253</v>
      </c>
      <c r="J119" t="str" cm="1">
        <f t="array" ref="J119">_xlfn.IFS(I119&lt;120, "Weak", I119&lt;=200, "Moderate", I119&lt;=300, "Powerful", I119&gt;300, "Super")</f>
        <v>Powerful</v>
      </c>
      <c r="K119">
        <v>113.3</v>
      </c>
      <c r="L119">
        <v>76.3</v>
      </c>
      <c r="M119">
        <v>165.4</v>
      </c>
      <c r="N119">
        <v>2.85</v>
      </c>
      <c r="O119">
        <v>12</v>
      </c>
      <c r="P119">
        <v>21</v>
      </c>
      <c r="Q119" s="1">
        <v>41087</v>
      </c>
      <c r="R119">
        <v>106.98445630000001</v>
      </c>
    </row>
    <row r="120" spans="1:18" x14ac:dyDescent="0.3">
      <c r="A120" t="s">
        <v>157</v>
      </c>
      <c r="B120" s="6" t="s">
        <v>158</v>
      </c>
      <c r="C120" s="6" t="str">
        <f t="shared" si="1"/>
        <v>High Sales</v>
      </c>
      <c r="D120" s="2">
        <v>51.645000000000003</v>
      </c>
      <c r="E120" s="11">
        <v>13.79</v>
      </c>
      <c r="F120" t="s">
        <v>18</v>
      </c>
      <c r="G120">
        <v>21.61</v>
      </c>
      <c r="H120">
        <v>2.4</v>
      </c>
      <c r="I120">
        <v>150</v>
      </c>
      <c r="J120" t="str" cm="1">
        <f t="array" ref="J120">_xlfn.IFS(I120&lt;120, "Weak", I120&lt;=200, "Moderate", I120&lt;=300, "Powerful", I120&gt;300, "Super")</f>
        <v>Moderate</v>
      </c>
      <c r="K120">
        <v>104.1</v>
      </c>
      <c r="L120">
        <v>68.400000000000006</v>
      </c>
      <c r="M120">
        <v>181.9</v>
      </c>
      <c r="N120">
        <v>2.9060000000000001</v>
      </c>
      <c r="O120">
        <v>15</v>
      </c>
      <c r="P120">
        <v>27</v>
      </c>
      <c r="Q120" s="1">
        <v>40933</v>
      </c>
      <c r="R120">
        <v>62.015870300000003</v>
      </c>
    </row>
    <row r="121" spans="1:18" x14ac:dyDescent="0.3">
      <c r="A121" t="s">
        <v>157</v>
      </c>
      <c r="B121" s="6" t="s">
        <v>159</v>
      </c>
      <c r="C121" s="6" t="str">
        <f t="shared" si="1"/>
        <v>High Sales</v>
      </c>
      <c r="D121" s="2">
        <v>131.09700000000001</v>
      </c>
      <c r="E121" s="11">
        <v>10.29</v>
      </c>
      <c r="F121" t="s">
        <v>18</v>
      </c>
      <c r="G121">
        <v>19.72</v>
      </c>
      <c r="H121">
        <v>3.4</v>
      </c>
      <c r="I121">
        <v>175</v>
      </c>
      <c r="J121" t="str" cm="1">
        <f t="array" ref="J121">_xlfn.IFS(I121&lt;120, "Weak", I121&lt;=200, "Moderate", I121&lt;=300, "Powerful", I121&gt;300, "Super")</f>
        <v>Moderate</v>
      </c>
      <c r="K121">
        <v>107</v>
      </c>
      <c r="L121">
        <v>70.400000000000006</v>
      </c>
      <c r="M121">
        <v>186.3</v>
      </c>
      <c r="N121">
        <v>3.0910000000000002</v>
      </c>
      <c r="O121">
        <v>15.2</v>
      </c>
      <c r="P121">
        <v>25</v>
      </c>
      <c r="Q121" s="1">
        <v>41239</v>
      </c>
      <c r="R121">
        <v>70.389737260000004</v>
      </c>
    </row>
    <row r="122" spans="1:18" x14ac:dyDescent="0.3">
      <c r="A122" t="s">
        <v>157</v>
      </c>
      <c r="B122" s="6" t="s">
        <v>160</v>
      </c>
      <c r="C122" s="6" t="str">
        <f t="shared" si="1"/>
        <v>Low Sales</v>
      </c>
      <c r="D122" s="2">
        <v>19.911000000000001</v>
      </c>
      <c r="E122" s="11">
        <v>17.805</v>
      </c>
      <c r="F122" t="s">
        <v>18</v>
      </c>
      <c r="G122">
        <v>25.31</v>
      </c>
      <c r="H122">
        <v>3.8</v>
      </c>
      <c r="I122">
        <v>200</v>
      </c>
      <c r="J122" t="str" cm="1">
        <f t="array" ref="J122">_xlfn.IFS(I122&lt;120, "Weak", I122&lt;=200, "Moderate", I122&lt;=300, "Powerful", I122&gt;300, "Super")</f>
        <v>Moderate</v>
      </c>
      <c r="K122">
        <v>101.1</v>
      </c>
      <c r="L122">
        <v>74.5</v>
      </c>
      <c r="M122">
        <v>193.4</v>
      </c>
      <c r="N122">
        <v>3.492</v>
      </c>
      <c r="O122">
        <v>16.8</v>
      </c>
      <c r="P122">
        <v>25</v>
      </c>
      <c r="Q122" s="1">
        <v>41076</v>
      </c>
      <c r="R122">
        <v>81.492726160000004</v>
      </c>
    </row>
    <row r="123" spans="1:18" x14ac:dyDescent="0.3">
      <c r="A123" t="s">
        <v>157</v>
      </c>
      <c r="B123" s="6" t="s">
        <v>161</v>
      </c>
      <c r="C123" s="6" t="str">
        <f t="shared" si="1"/>
        <v>High Sales</v>
      </c>
      <c r="D123" s="2">
        <v>92.364000000000004</v>
      </c>
      <c r="E123" s="11">
        <v>14.01</v>
      </c>
      <c r="F123" t="s">
        <v>18</v>
      </c>
      <c r="G123">
        <v>21.664999999999999</v>
      </c>
      <c r="H123">
        <v>3.8</v>
      </c>
      <c r="I123">
        <v>195</v>
      </c>
      <c r="J123" t="str" cm="1">
        <f t="array" ref="J123">_xlfn.IFS(I123&lt;120, "Weak", I123&lt;=200, "Moderate", I123&lt;=300, "Powerful", I123&gt;300, "Super")</f>
        <v>Moderate</v>
      </c>
      <c r="K123">
        <v>110.5</v>
      </c>
      <c r="L123">
        <v>72.7</v>
      </c>
      <c r="M123">
        <v>196.5</v>
      </c>
      <c r="N123">
        <v>3.3959999999999999</v>
      </c>
      <c r="O123">
        <v>18</v>
      </c>
      <c r="P123">
        <v>25</v>
      </c>
      <c r="Q123" s="1">
        <v>41197</v>
      </c>
      <c r="R123">
        <v>78.318168130000004</v>
      </c>
    </row>
    <row r="124" spans="1:18" x14ac:dyDescent="0.3">
      <c r="A124" t="s">
        <v>157</v>
      </c>
      <c r="B124" s="6" t="s">
        <v>162</v>
      </c>
      <c r="C124" s="6" t="str">
        <f t="shared" si="1"/>
        <v>High Sales</v>
      </c>
      <c r="D124" s="2">
        <v>35.945</v>
      </c>
      <c r="E124" s="11">
        <v>13.225</v>
      </c>
      <c r="F124" t="s">
        <v>18</v>
      </c>
      <c r="G124">
        <v>23.754999999999999</v>
      </c>
      <c r="H124">
        <v>3.8</v>
      </c>
      <c r="I124">
        <v>205</v>
      </c>
      <c r="J124" t="str" cm="1">
        <f t="array" ref="J124">_xlfn.IFS(I124&lt;120, "Weak", I124&lt;=200, "Moderate", I124&lt;=300, "Powerful", I124&gt;300, "Super")</f>
        <v>Powerful</v>
      </c>
      <c r="K124">
        <v>112.2</v>
      </c>
      <c r="L124">
        <v>72.599999999999994</v>
      </c>
      <c r="M124">
        <v>202.5</v>
      </c>
      <c r="N124">
        <v>3.59</v>
      </c>
      <c r="O124">
        <v>17.5</v>
      </c>
      <c r="P124">
        <v>24</v>
      </c>
      <c r="Q124" s="1">
        <v>40681</v>
      </c>
      <c r="R124">
        <v>82.661355599999993</v>
      </c>
    </row>
    <row r="125" spans="1:18" x14ac:dyDescent="0.3">
      <c r="A125" t="s">
        <v>157</v>
      </c>
      <c r="B125" s="6" t="s">
        <v>163</v>
      </c>
      <c r="C125" s="6" t="str">
        <f t="shared" si="1"/>
        <v>High Sales</v>
      </c>
      <c r="D125" s="2">
        <v>39.572000000000003</v>
      </c>
      <c r="E125" s="11"/>
      <c r="F125" t="s">
        <v>41</v>
      </c>
      <c r="G125">
        <v>25.635000000000002</v>
      </c>
      <c r="H125">
        <v>3.4</v>
      </c>
      <c r="I125">
        <v>185</v>
      </c>
      <c r="J125" t="str" cm="1">
        <f t="array" ref="J125">_xlfn.IFS(I125&lt;120, "Weak", I125&lt;=200, "Moderate", I125&lt;=300, "Powerful", I125&gt;300, "Super")</f>
        <v>Moderate</v>
      </c>
      <c r="K125">
        <v>120</v>
      </c>
      <c r="L125">
        <v>72.7</v>
      </c>
      <c r="M125">
        <v>201.3</v>
      </c>
      <c r="N125">
        <v>3.9420000000000002</v>
      </c>
      <c r="O125">
        <v>25</v>
      </c>
      <c r="P125">
        <v>23</v>
      </c>
      <c r="Q125" s="1">
        <v>41112</v>
      </c>
      <c r="R125">
        <v>76.208439519999999</v>
      </c>
    </row>
    <row r="126" spans="1:18" x14ac:dyDescent="0.3">
      <c r="A126" t="s">
        <v>164</v>
      </c>
      <c r="B126" s="6" t="s">
        <v>165</v>
      </c>
      <c r="C126" s="6" t="str">
        <f t="shared" si="1"/>
        <v>Low Sales</v>
      </c>
      <c r="D126" s="2">
        <v>8.9819999999999993</v>
      </c>
      <c r="E126" s="11">
        <v>41.25</v>
      </c>
      <c r="F126" t="s">
        <v>18</v>
      </c>
      <c r="G126">
        <v>41.43</v>
      </c>
      <c r="H126">
        <v>2.7</v>
      </c>
      <c r="I126">
        <v>217</v>
      </c>
      <c r="J126" t="str" cm="1">
        <f t="array" ref="J126">_xlfn.IFS(I126&lt;120, "Weak", I126&lt;=200, "Moderate", I126&lt;=300, "Powerful", I126&gt;300, "Super")</f>
        <v>Powerful</v>
      </c>
      <c r="K126">
        <v>95.2</v>
      </c>
      <c r="L126">
        <v>70.099999999999994</v>
      </c>
      <c r="M126">
        <v>171</v>
      </c>
      <c r="N126">
        <v>2.778</v>
      </c>
      <c r="O126">
        <v>17</v>
      </c>
      <c r="P126">
        <v>22</v>
      </c>
      <c r="Q126" s="1">
        <v>40958</v>
      </c>
      <c r="R126">
        <v>93.437330700000004</v>
      </c>
    </row>
    <row r="127" spans="1:18" x14ac:dyDescent="0.3">
      <c r="A127" t="s">
        <v>164</v>
      </c>
      <c r="B127" s="6" t="s">
        <v>166</v>
      </c>
      <c r="C127" s="6" t="str">
        <f t="shared" si="1"/>
        <v>Low Sales</v>
      </c>
      <c r="D127" s="2">
        <v>1.28</v>
      </c>
      <c r="E127" s="11">
        <v>60.625</v>
      </c>
      <c r="F127" t="s">
        <v>18</v>
      </c>
      <c r="G127">
        <v>71.02</v>
      </c>
      <c r="H127">
        <v>3.4</v>
      </c>
      <c r="I127">
        <v>300</v>
      </c>
      <c r="J127" t="str" cm="1">
        <f t="array" ref="J127">_xlfn.IFS(I127&lt;120, "Weak", I127&lt;=200, "Moderate", I127&lt;=300, "Powerful", I127&gt;300, "Super")</f>
        <v>Powerful</v>
      </c>
      <c r="K127">
        <v>92.6</v>
      </c>
      <c r="L127">
        <v>69.5</v>
      </c>
      <c r="M127">
        <v>174.5</v>
      </c>
      <c r="N127">
        <v>3.032</v>
      </c>
      <c r="O127">
        <v>17</v>
      </c>
      <c r="P127">
        <v>21</v>
      </c>
      <c r="Q127" s="1">
        <v>41264</v>
      </c>
      <c r="R127">
        <v>134.3909754</v>
      </c>
    </row>
    <row r="128" spans="1:18" x14ac:dyDescent="0.3">
      <c r="A128" t="s">
        <v>164</v>
      </c>
      <c r="B128" s="6" t="s">
        <v>167</v>
      </c>
      <c r="C128" s="6" t="str">
        <f t="shared" si="1"/>
        <v>Low Sales</v>
      </c>
      <c r="D128" s="2">
        <v>1.8660000000000001</v>
      </c>
      <c r="E128" s="11">
        <v>67.55</v>
      </c>
      <c r="F128" t="s">
        <v>18</v>
      </c>
      <c r="G128">
        <v>74.97</v>
      </c>
      <c r="H128">
        <v>3.4</v>
      </c>
      <c r="I128">
        <v>300</v>
      </c>
      <c r="J128" t="str" cm="1">
        <f t="array" ref="J128">_xlfn.IFS(I128&lt;120, "Weak", I128&lt;=200, "Moderate", I128&lt;=300, "Powerful", I128&gt;300, "Super")</f>
        <v>Powerful</v>
      </c>
      <c r="K128">
        <v>92.6</v>
      </c>
      <c r="L128">
        <v>69.5</v>
      </c>
      <c r="M128">
        <v>174.5</v>
      </c>
      <c r="N128">
        <v>3.0750000000000002</v>
      </c>
      <c r="O128">
        <v>17</v>
      </c>
      <c r="P128">
        <v>23</v>
      </c>
      <c r="Q128" s="1">
        <v>40735</v>
      </c>
      <c r="R128">
        <v>135.91470960000001</v>
      </c>
    </row>
    <row r="129" spans="1:18" x14ac:dyDescent="0.3">
      <c r="A129" t="s">
        <v>168</v>
      </c>
      <c r="B129" s="6" t="s">
        <v>183</v>
      </c>
      <c r="C129" s="6" t="str">
        <f t="shared" si="1"/>
        <v>Low Sales</v>
      </c>
      <c r="D129" s="2">
        <v>9.1910000000000007</v>
      </c>
      <c r="E129" s="11"/>
      <c r="F129" t="s">
        <v>18</v>
      </c>
      <c r="G129">
        <v>33.119999999999997</v>
      </c>
      <c r="H129">
        <v>2.2999999999999998</v>
      </c>
      <c r="I129">
        <v>170</v>
      </c>
      <c r="J129" t="str" cm="1">
        <f t="array" ref="J129">_xlfn.IFS(I129&lt;120, "Weak", I129&lt;=200, "Moderate", I129&lt;=300, "Powerful", I129&gt;300, "Super")</f>
        <v>Moderate</v>
      </c>
      <c r="K129">
        <v>106.4</v>
      </c>
      <c r="L129">
        <v>70.599999999999994</v>
      </c>
      <c r="M129">
        <v>189.2</v>
      </c>
      <c r="N129">
        <v>3.28</v>
      </c>
      <c r="O129">
        <v>18.5</v>
      </c>
      <c r="P129">
        <v>23</v>
      </c>
      <c r="Q129" s="1">
        <v>41222</v>
      </c>
      <c r="R129">
        <v>73.503778190000006</v>
      </c>
    </row>
    <row r="130" spans="1:18" x14ac:dyDescent="0.3">
      <c r="A130" t="s">
        <v>168</v>
      </c>
      <c r="B130" s="6" t="s">
        <v>183</v>
      </c>
      <c r="C130" s="6" t="str">
        <f t="shared" si="1"/>
        <v>Low Sales</v>
      </c>
      <c r="D130" s="2">
        <v>12.115</v>
      </c>
      <c r="E130" s="11"/>
      <c r="F130" t="s">
        <v>18</v>
      </c>
      <c r="G130">
        <v>26.1</v>
      </c>
      <c r="H130">
        <v>2</v>
      </c>
      <c r="I130">
        <v>185</v>
      </c>
      <c r="J130" t="str" cm="1">
        <f t="array" ref="J130">_xlfn.IFS(I130&lt;120, "Weak", I130&lt;=200, "Moderate", I130&lt;=300, "Powerful", I130&gt;300, "Super")</f>
        <v>Moderate</v>
      </c>
      <c r="K130">
        <v>102.6</v>
      </c>
      <c r="L130">
        <v>67.400000000000006</v>
      </c>
      <c r="M130">
        <v>182.2</v>
      </c>
      <c r="N130">
        <v>2.99</v>
      </c>
      <c r="O130">
        <v>16.899999999999999</v>
      </c>
      <c r="P130">
        <v>23</v>
      </c>
      <c r="Q130" s="1">
        <v>40706</v>
      </c>
      <c r="R130">
        <v>76.02304771</v>
      </c>
    </row>
    <row r="131" spans="1:18" x14ac:dyDescent="0.3">
      <c r="A131" t="s">
        <v>169</v>
      </c>
      <c r="B131" s="6" t="s">
        <v>170</v>
      </c>
      <c r="C131" s="6" t="str">
        <f t="shared" ref="C131:C158" si="2">IF(D131&gt;20,"High Sales","Low Sales")</f>
        <v>High Sales</v>
      </c>
      <c r="D131" s="2">
        <v>80.62</v>
      </c>
      <c r="E131" s="11">
        <v>9.1999999999999993</v>
      </c>
      <c r="F131" t="s">
        <v>18</v>
      </c>
      <c r="G131">
        <v>10.685</v>
      </c>
      <c r="H131">
        <v>1.9</v>
      </c>
      <c r="I131">
        <v>100</v>
      </c>
      <c r="J131" t="str" cm="1">
        <f t="array" ref="J131">_xlfn.IFS(I131&lt;120, "Weak", I131&lt;=200, "Moderate", I131&lt;=300, "Powerful", I131&gt;300, "Super")</f>
        <v>Weak</v>
      </c>
      <c r="K131">
        <v>102.4</v>
      </c>
      <c r="L131">
        <v>66.400000000000006</v>
      </c>
      <c r="M131">
        <v>176.9</v>
      </c>
      <c r="N131">
        <v>2.3319999999999999</v>
      </c>
      <c r="O131">
        <v>12.1</v>
      </c>
      <c r="P131">
        <v>33</v>
      </c>
      <c r="Q131" s="1">
        <v>41137</v>
      </c>
      <c r="R131">
        <v>39.986424749999998</v>
      </c>
    </row>
    <row r="132" spans="1:18" x14ac:dyDescent="0.3">
      <c r="A132" t="s">
        <v>169</v>
      </c>
      <c r="B132" s="6" t="s">
        <v>171</v>
      </c>
      <c r="C132" s="6" t="str">
        <f t="shared" si="2"/>
        <v>High Sales</v>
      </c>
      <c r="D132" s="2">
        <v>24.545999999999999</v>
      </c>
      <c r="E132" s="11">
        <v>10.59</v>
      </c>
      <c r="F132" t="s">
        <v>18</v>
      </c>
      <c r="G132">
        <v>12.535</v>
      </c>
      <c r="H132">
        <v>1.9</v>
      </c>
      <c r="I132">
        <v>100</v>
      </c>
      <c r="J132" t="str" cm="1">
        <f t="array" ref="J132">_xlfn.IFS(I132&lt;120, "Weak", I132&lt;=200, "Moderate", I132&lt;=300, "Powerful", I132&gt;300, "Super")</f>
        <v>Weak</v>
      </c>
      <c r="K132">
        <v>102.4</v>
      </c>
      <c r="L132">
        <v>66.400000000000006</v>
      </c>
      <c r="M132">
        <v>180</v>
      </c>
      <c r="N132">
        <v>2.367</v>
      </c>
      <c r="O132">
        <v>12.1</v>
      </c>
      <c r="P132">
        <v>33</v>
      </c>
      <c r="Q132" s="1">
        <v>40618</v>
      </c>
      <c r="R132">
        <v>40.700072419999998</v>
      </c>
    </row>
    <row r="133" spans="1:18" x14ac:dyDescent="0.3">
      <c r="A133" t="s">
        <v>169</v>
      </c>
      <c r="B133" s="6" t="s">
        <v>172</v>
      </c>
      <c r="C133" s="6" t="str">
        <f t="shared" si="2"/>
        <v>Low Sales</v>
      </c>
      <c r="D133" s="2">
        <v>5.2229999999999999</v>
      </c>
      <c r="E133" s="11">
        <v>10.79</v>
      </c>
      <c r="F133" t="s">
        <v>18</v>
      </c>
      <c r="G133">
        <v>14.29</v>
      </c>
      <c r="H133">
        <v>1.9</v>
      </c>
      <c r="I133">
        <v>124</v>
      </c>
      <c r="J133" t="str" cm="1">
        <f t="array" ref="J133">_xlfn.IFS(I133&lt;120, "Weak", I133&lt;=200, "Moderate", I133&lt;=300, "Powerful", I133&gt;300, "Super")</f>
        <v>Moderate</v>
      </c>
      <c r="K133">
        <v>102.4</v>
      </c>
      <c r="L133">
        <v>66.400000000000006</v>
      </c>
      <c r="M133">
        <v>176.9</v>
      </c>
      <c r="N133">
        <v>2.452</v>
      </c>
      <c r="O133">
        <v>12.1</v>
      </c>
      <c r="P133">
        <v>31</v>
      </c>
      <c r="Q133" s="1">
        <v>40558</v>
      </c>
      <c r="R133">
        <v>49.865773670000003</v>
      </c>
    </row>
    <row r="134" spans="1:18" x14ac:dyDescent="0.3">
      <c r="A134" t="s">
        <v>169</v>
      </c>
      <c r="B134" s="6" t="s">
        <v>173</v>
      </c>
      <c r="C134" s="6" t="str">
        <f t="shared" si="2"/>
        <v>Low Sales</v>
      </c>
      <c r="D134" s="2">
        <v>8.4719999999999995</v>
      </c>
      <c r="E134" s="11"/>
      <c r="F134" t="s">
        <v>18</v>
      </c>
      <c r="G134">
        <v>18.835000000000001</v>
      </c>
      <c r="H134">
        <v>2.2000000000000002</v>
      </c>
      <c r="I134">
        <v>137</v>
      </c>
      <c r="J134" t="str" cm="1">
        <f t="array" ref="J134">_xlfn.IFS(I134&lt;120, "Weak", I134&lt;=200, "Moderate", I134&lt;=300, "Powerful", I134&gt;300, "Super")</f>
        <v>Moderate</v>
      </c>
      <c r="K134">
        <v>106.5</v>
      </c>
      <c r="L134">
        <v>69</v>
      </c>
      <c r="M134">
        <v>190.4</v>
      </c>
      <c r="N134">
        <v>3.0750000000000002</v>
      </c>
      <c r="O134">
        <v>13.1</v>
      </c>
      <c r="P134">
        <v>27</v>
      </c>
      <c r="Q134" s="1">
        <v>40760</v>
      </c>
      <c r="R134">
        <v>56.295243040000003</v>
      </c>
    </row>
    <row r="135" spans="1:18" x14ac:dyDescent="0.3">
      <c r="A135" t="s">
        <v>169</v>
      </c>
      <c r="B135" s="6" t="s">
        <v>174</v>
      </c>
      <c r="C135" s="6" t="str">
        <f t="shared" si="2"/>
        <v>High Sales</v>
      </c>
      <c r="D135" s="2">
        <v>49.988999999999997</v>
      </c>
      <c r="E135" s="11"/>
      <c r="F135" t="s">
        <v>18</v>
      </c>
      <c r="G135">
        <v>15.01</v>
      </c>
      <c r="H135">
        <v>2.2000000000000002</v>
      </c>
      <c r="I135">
        <v>137</v>
      </c>
      <c r="J135" t="str" cm="1">
        <f t="array" ref="J135">_xlfn.IFS(I135&lt;120, "Weak", I135&lt;=200, "Moderate", I135&lt;=300, "Powerful", I135&gt;300, "Super")</f>
        <v>Moderate</v>
      </c>
      <c r="K135">
        <v>106.5</v>
      </c>
      <c r="L135">
        <v>69</v>
      </c>
      <c r="M135">
        <v>190.4</v>
      </c>
      <c r="N135">
        <v>2.91</v>
      </c>
      <c r="O135">
        <v>13.1</v>
      </c>
      <c r="P135">
        <v>28</v>
      </c>
      <c r="Q135" s="1">
        <v>41247</v>
      </c>
      <c r="R135">
        <v>54.819728249999997</v>
      </c>
    </row>
    <row r="136" spans="1:18" x14ac:dyDescent="0.3">
      <c r="A136" t="s">
        <v>175</v>
      </c>
      <c r="B136" s="6" t="s">
        <v>176</v>
      </c>
      <c r="C136" s="6" t="str">
        <f t="shared" si="2"/>
        <v>High Sales</v>
      </c>
      <c r="D136" s="2">
        <v>47.106999999999999</v>
      </c>
      <c r="E136" s="11"/>
      <c r="F136" t="s">
        <v>18</v>
      </c>
      <c r="G136">
        <v>22.695</v>
      </c>
      <c r="H136">
        <v>2.5</v>
      </c>
      <c r="I136">
        <v>165</v>
      </c>
      <c r="J136" t="str" cm="1">
        <f t="array" ref="J136">_xlfn.IFS(I136&lt;120, "Weak", I136&lt;=200, "Moderate", I136&lt;=300, "Powerful", I136&gt;300, "Super")</f>
        <v>Moderate</v>
      </c>
      <c r="K136">
        <v>103.5</v>
      </c>
      <c r="L136">
        <v>67.5</v>
      </c>
      <c r="M136">
        <v>185.8</v>
      </c>
      <c r="N136">
        <v>3.415</v>
      </c>
      <c r="O136">
        <v>16.899999999999999</v>
      </c>
      <c r="P136">
        <v>25</v>
      </c>
      <c r="Q136" s="1">
        <v>40731</v>
      </c>
      <c r="R136">
        <v>67.765907600000006</v>
      </c>
    </row>
    <row r="137" spans="1:18" x14ac:dyDescent="0.3">
      <c r="A137" t="s">
        <v>175</v>
      </c>
      <c r="B137" s="6" t="s">
        <v>177</v>
      </c>
      <c r="C137" s="6" t="str">
        <f t="shared" si="2"/>
        <v>High Sales</v>
      </c>
      <c r="D137" s="2">
        <v>33.027999999999999</v>
      </c>
      <c r="E137" s="11"/>
      <c r="F137" t="s">
        <v>41</v>
      </c>
      <c r="G137">
        <v>20.094999999999999</v>
      </c>
      <c r="H137">
        <v>2.5</v>
      </c>
      <c r="I137">
        <v>165</v>
      </c>
      <c r="J137" t="str" cm="1">
        <f t="array" ref="J137">_xlfn.IFS(I137&lt;120, "Weak", I137&lt;=200, "Moderate", I137&lt;=300, "Powerful", I137&gt;300, "Super")</f>
        <v>Moderate</v>
      </c>
      <c r="K137">
        <v>99.4</v>
      </c>
      <c r="L137">
        <v>68.3</v>
      </c>
      <c r="M137">
        <v>175.2</v>
      </c>
      <c r="N137">
        <v>3.125</v>
      </c>
      <c r="O137">
        <v>15.9</v>
      </c>
      <c r="P137">
        <v>24</v>
      </c>
      <c r="Q137" s="1">
        <v>41162</v>
      </c>
      <c r="R137">
        <v>66.762943309999997</v>
      </c>
    </row>
    <row r="138" spans="1:18" x14ac:dyDescent="0.3">
      <c r="A138" t="s">
        <v>178</v>
      </c>
      <c r="B138" s="6" t="s">
        <v>179</v>
      </c>
      <c r="C138" s="6" t="str">
        <f t="shared" si="2"/>
        <v>High Sales</v>
      </c>
      <c r="D138" s="2">
        <v>142.535</v>
      </c>
      <c r="E138" s="11">
        <v>10.025</v>
      </c>
      <c r="F138" t="s">
        <v>18</v>
      </c>
      <c r="G138">
        <v>13.108000000000001</v>
      </c>
      <c r="H138">
        <v>1.8</v>
      </c>
      <c r="I138">
        <v>120</v>
      </c>
      <c r="J138" t="str" cm="1">
        <f t="array" ref="J138">_xlfn.IFS(I138&lt;120, "Weak", I138&lt;=200, "Moderate", I138&lt;=300, "Powerful", I138&gt;300, "Super")</f>
        <v>Moderate</v>
      </c>
      <c r="K138">
        <v>97</v>
      </c>
      <c r="L138">
        <v>66.7</v>
      </c>
      <c r="M138">
        <v>174</v>
      </c>
      <c r="N138">
        <v>2.42</v>
      </c>
      <c r="O138">
        <v>13.2</v>
      </c>
      <c r="P138">
        <v>33</v>
      </c>
      <c r="Q138" s="1">
        <v>40644</v>
      </c>
      <c r="R138">
        <v>47.96897242</v>
      </c>
    </row>
    <row r="139" spans="1:18" x14ac:dyDescent="0.3">
      <c r="A139" t="s">
        <v>178</v>
      </c>
      <c r="B139" s="6" t="s">
        <v>180</v>
      </c>
      <c r="C139" s="6" t="str">
        <f t="shared" si="2"/>
        <v>High Sales</v>
      </c>
      <c r="D139" s="2">
        <v>247.994</v>
      </c>
      <c r="E139" s="11">
        <v>13.244999999999999</v>
      </c>
      <c r="F139" t="s">
        <v>18</v>
      </c>
      <c r="G139">
        <v>17.518000000000001</v>
      </c>
      <c r="H139">
        <v>2.2000000000000002</v>
      </c>
      <c r="I139">
        <v>133</v>
      </c>
      <c r="J139" t="str" cm="1">
        <f t="array" ref="J139">_xlfn.IFS(I139&lt;120, "Weak", I139&lt;=200, "Moderate", I139&lt;=300, "Powerful", I139&gt;300, "Super")</f>
        <v>Moderate</v>
      </c>
      <c r="K139">
        <v>105.2</v>
      </c>
      <c r="L139">
        <v>70.099999999999994</v>
      </c>
      <c r="M139">
        <v>188.5</v>
      </c>
      <c r="N139">
        <v>2.9980000000000002</v>
      </c>
      <c r="O139">
        <v>18.5</v>
      </c>
      <c r="P139">
        <v>27</v>
      </c>
      <c r="Q139" s="1">
        <v>40584</v>
      </c>
      <c r="R139">
        <v>54.372419649999998</v>
      </c>
    </row>
    <row r="140" spans="1:18" x14ac:dyDescent="0.3">
      <c r="A140" t="s">
        <v>178</v>
      </c>
      <c r="B140" s="6" t="s">
        <v>181</v>
      </c>
      <c r="C140" s="6" t="str">
        <f t="shared" si="2"/>
        <v>High Sales</v>
      </c>
      <c r="D140" s="2">
        <v>63.848999999999997</v>
      </c>
      <c r="E140" s="11">
        <v>18.14</v>
      </c>
      <c r="F140" t="s">
        <v>18</v>
      </c>
      <c r="G140">
        <v>25.545000000000002</v>
      </c>
      <c r="H140">
        <v>3</v>
      </c>
      <c r="I140">
        <v>210</v>
      </c>
      <c r="J140" t="str" cm="1">
        <f t="array" ref="J140">_xlfn.IFS(I140&lt;120, "Weak", I140&lt;=200, "Moderate", I140&lt;=300, "Powerful", I140&gt;300, "Super")</f>
        <v>Powerful</v>
      </c>
      <c r="K140">
        <v>107.1</v>
      </c>
      <c r="L140">
        <v>71.7</v>
      </c>
      <c r="M140">
        <v>191.9</v>
      </c>
      <c r="N140">
        <v>3.4169999999999998</v>
      </c>
      <c r="O140">
        <v>18.5</v>
      </c>
      <c r="P140">
        <v>26</v>
      </c>
      <c r="Q140" s="1">
        <v>40786</v>
      </c>
      <c r="R140">
        <v>84.911898260000001</v>
      </c>
    </row>
    <row r="141" spans="1:18" x14ac:dyDescent="0.3">
      <c r="A141" t="s">
        <v>178</v>
      </c>
      <c r="B141" s="6" t="s">
        <v>182</v>
      </c>
      <c r="C141" s="6" t="str">
        <f t="shared" si="2"/>
        <v>High Sales</v>
      </c>
      <c r="D141" s="2">
        <v>33.268999999999998</v>
      </c>
      <c r="E141" s="11">
        <v>15.445</v>
      </c>
      <c r="F141" t="s">
        <v>18</v>
      </c>
      <c r="G141">
        <v>16.875</v>
      </c>
      <c r="H141">
        <v>1.8</v>
      </c>
      <c r="I141">
        <v>140</v>
      </c>
      <c r="J141" t="str" cm="1">
        <f t="array" ref="J141">_xlfn.IFS(I141&lt;120, "Weak", I141&lt;=200, "Moderate", I141&lt;=300, "Powerful", I141&gt;300, "Super")</f>
        <v>Moderate</v>
      </c>
      <c r="K141">
        <v>102.4</v>
      </c>
      <c r="L141">
        <v>68.3</v>
      </c>
      <c r="M141">
        <v>170.5</v>
      </c>
      <c r="N141">
        <v>2.4249999999999998</v>
      </c>
      <c r="O141">
        <v>14.5</v>
      </c>
      <c r="P141">
        <v>31</v>
      </c>
      <c r="Q141" s="1">
        <v>41272</v>
      </c>
      <c r="R141">
        <v>56.496030339999997</v>
      </c>
    </row>
    <row r="142" spans="1:18" x14ac:dyDescent="0.3">
      <c r="A142" t="s">
        <v>178</v>
      </c>
      <c r="B142" s="6" t="s">
        <v>183</v>
      </c>
      <c r="C142" s="6" t="str">
        <f t="shared" si="2"/>
        <v>High Sales</v>
      </c>
      <c r="D142" s="2">
        <v>84.087000000000003</v>
      </c>
      <c r="E142" s="11">
        <v>9.5749999999999993</v>
      </c>
      <c r="F142" t="s">
        <v>41</v>
      </c>
      <c r="G142">
        <v>11.528</v>
      </c>
      <c r="H142">
        <v>2.4</v>
      </c>
      <c r="I142">
        <v>142</v>
      </c>
      <c r="J142" t="str" cm="1">
        <f t="array" ref="J142">_xlfn.IFS(I142&lt;120, "Weak", I142&lt;=200, "Moderate", I142&lt;=300, "Powerful", I142&gt;300, "Super")</f>
        <v>Moderate</v>
      </c>
      <c r="K142">
        <v>103.3</v>
      </c>
      <c r="L142">
        <v>66.5</v>
      </c>
      <c r="M142">
        <v>178.7</v>
      </c>
      <c r="N142">
        <v>2.58</v>
      </c>
      <c r="O142">
        <v>15.1</v>
      </c>
      <c r="P142">
        <v>23</v>
      </c>
      <c r="Q142" s="1">
        <v>40756</v>
      </c>
      <c r="R142">
        <v>55.297116580000001</v>
      </c>
    </row>
    <row r="143" spans="1:18" x14ac:dyDescent="0.3">
      <c r="A143" t="s">
        <v>178</v>
      </c>
      <c r="B143" s="6" t="s">
        <v>184</v>
      </c>
      <c r="C143" s="6" t="str">
        <f t="shared" si="2"/>
        <v>High Sales</v>
      </c>
      <c r="D143" s="2">
        <v>65.119</v>
      </c>
      <c r="E143" s="11"/>
      <c r="F143" t="s">
        <v>41</v>
      </c>
      <c r="G143">
        <v>22.367999999999999</v>
      </c>
      <c r="H143">
        <v>3</v>
      </c>
      <c r="I143">
        <v>194</v>
      </c>
      <c r="J143" t="str" cm="1">
        <f t="array" ref="J143">_xlfn.IFS(I143&lt;120, "Weak", I143&lt;=200, "Moderate", I143&lt;=300, "Powerful", I143&gt;300, "Super")</f>
        <v>Moderate</v>
      </c>
      <c r="K143">
        <v>114.2</v>
      </c>
      <c r="L143">
        <v>73.400000000000006</v>
      </c>
      <c r="M143">
        <v>193.5</v>
      </c>
      <c r="N143">
        <v>3.7589999999999999</v>
      </c>
      <c r="O143">
        <v>20.9</v>
      </c>
      <c r="P143">
        <v>22</v>
      </c>
      <c r="Q143" s="1">
        <v>41187</v>
      </c>
      <c r="R143">
        <v>78.027219470000006</v>
      </c>
    </row>
    <row r="144" spans="1:18" x14ac:dyDescent="0.3">
      <c r="A144" t="s">
        <v>178</v>
      </c>
      <c r="B144" s="6" t="s">
        <v>185</v>
      </c>
      <c r="C144" s="6" t="str">
        <f t="shared" si="2"/>
        <v>High Sales</v>
      </c>
      <c r="D144" s="2">
        <v>25.106000000000002</v>
      </c>
      <c r="E144" s="11">
        <v>13.324999999999999</v>
      </c>
      <c r="F144" t="s">
        <v>41</v>
      </c>
      <c r="G144">
        <v>16.888000000000002</v>
      </c>
      <c r="H144">
        <v>2</v>
      </c>
      <c r="I144">
        <v>127</v>
      </c>
      <c r="J144" t="str" cm="1">
        <f t="array" ref="J144">_xlfn.IFS(I144&lt;120, "Weak", I144&lt;=200, "Moderate", I144&lt;=300, "Powerful", I144&gt;300, "Super")</f>
        <v>Moderate</v>
      </c>
      <c r="K144">
        <v>94.9</v>
      </c>
      <c r="L144">
        <v>66.7</v>
      </c>
      <c r="M144">
        <v>163.80000000000001</v>
      </c>
      <c r="N144">
        <v>2.6680000000000001</v>
      </c>
      <c r="O144">
        <v>15.3</v>
      </c>
      <c r="P144">
        <v>27</v>
      </c>
      <c r="Q144" s="1">
        <v>40669</v>
      </c>
      <c r="R144">
        <v>51.955108869999997</v>
      </c>
    </row>
    <row r="145" spans="1:18" x14ac:dyDescent="0.3">
      <c r="A145" t="s">
        <v>178</v>
      </c>
      <c r="B145" s="6" t="s">
        <v>186</v>
      </c>
      <c r="C145" s="6" t="str">
        <f t="shared" si="2"/>
        <v>High Sales</v>
      </c>
      <c r="D145" s="2">
        <v>68.411000000000001</v>
      </c>
      <c r="E145" s="11">
        <v>19.425000000000001</v>
      </c>
      <c r="F145" t="s">
        <v>41</v>
      </c>
      <c r="G145">
        <v>22.288</v>
      </c>
      <c r="H145">
        <v>2.7</v>
      </c>
      <c r="I145">
        <v>150</v>
      </c>
      <c r="J145" t="str" cm="1">
        <f t="array" ref="J145">_xlfn.IFS(I145&lt;120, "Weak", I145&lt;=200, "Moderate", I145&lt;=300, "Powerful", I145&gt;300, "Super")</f>
        <v>Moderate</v>
      </c>
      <c r="K145">
        <v>105.3</v>
      </c>
      <c r="L145">
        <v>66.5</v>
      </c>
      <c r="M145">
        <v>183.3</v>
      </c>
      <c r="N145">
        <v>3.44</v>
      </c>
      <c r="O145">
        <v>18.5</v>
      </c>
      <c r="P145">
        <v>23</v>
      </c>
      <c r="Q145" s="1">
        <v>40609</v>
      </c>
      <c r="R145">
        <v>62.35557713</v>
      </c>
    </row>
    <row r="146" spans="1:18" x14ac:dyDescent="0.3">
      <c r="A146" t="s">
        <v>178</v>
      </c>
      <c r="B146" s="6" t="s">
        <v>187</v>
      </c>
      <c r="C146" s="6" t="str">
        <f t="shared" si="2"/>
        <v>Low Sales</v>
      </c>
      <c r="D146" s="2">
        <v>9.8350000000000009</v>
      </c>
      <c r="E146" s="11">
        <v>34.08</v>
      </c>
      <c r="F146" t="s">
        <v>41</v>
      </c>
      <c r="G146">
        <v>51.728000000000002</v>
      </c>
      <c r="H146">
        <v>4.7</v>
      </c>
      <c r="I146">
        <v>230</v>
      </c>
      <c r="J146" t="str" cm="1">
        <f t="array" ref="J146">_xlfn.IFS(I146&lt;120, "Weak", I146&lt;=200, "Moderate", I146&lt;=300, "Powerful", I146&gt;300, "Super")</f>
        <v>Powerful</v>
      </c>
      <c r="K146">
        <v>112.2</v>
      </c>
      <c r="L146">
        <v>76.400000000000006</v>
      </c>
      <c r="M146">
        <v>192.5</v>
      </c>
      <c r="N146">
        <v>5.1150000000000002</v>
      </c>
      <c r="O146">
        <v>25.4</v>
      </c>
      <c r="P146">
        <v>15</v>
      </c>
      <c r="Q146" s="1">
        <v>40811</v>
      </c>
      <c r="R146">
        <v>102.5289842</v>
      </c>
    </row>
    <row r="147" spans="1:18" x14ac:dyDescent="0.3">
      <c r="A147" t="s">
        <v>188</v>
      </c>
      <c r="B147" s="6" t="s">
        <v>189</v>
      </c>
      <c r="C147" s="6" t="str">
        <f t="shared" si="2"/>
        <v>Low Sales</v>
      </c>
      <c r="D147" s="2">
        <v>9.7609999999999992</v>
      </c>
      <c r="E147" s="11">
        <v>11.425000000000001</v>
      </c>
      <c r="F147" t="s">
        <v>18</v>
      </c>
      <c r="G147">
        <v>14.9</v>
      </c>
      <c r="H147">
        <v>2</v>
      </c>
      <c r="I147">
        <v>115</v>
      </c>
      <c r="J147" t="str" cm="1">
        <f t="array" ref="J147">_xlfn.IFS(I147&lt;120, "Weak", I147&lt;=200, "Moderate", I147&lt;=300, "Powerful", I147&gt;300, "Super")</f>
        <v>Weak</v>
      </c>
      <c r="K147">
        <v>98.9</v>
      </c>
      <c r="L147">
        <v>68.3</v>
      </c>
      <c r="M147">
        <v>163.30000000000001</v>
      </c>
      <c r="N147">
        <v>2.7669999999999999</v>
      </c>
      <c r="O147">
        <v>14.5</v>
      </c>
      <c r="P147">
        <v>26</v>
      </c>
      <c r="Q147" s="1">
        <v>40567</v>
      </c>
      <c r="R147">
        <v>46.943876760000002</v>
      </c>
    </row>
    <row r="148" spans="1:18" x14ac:dyDescent="0.3">
      <c r="A148" t="s">
        <v>188</v>
      </c>
      <c r="B148" s="6" t="s">
        <v>190</v>
      </c>
      <c r="C148" s="6" t="str">
        <f t="shared" si="2"/>
        <v>High Sales</v>
      </c>
      <c r="D148" s="2">
        <v>83.721000000000004</v>
      </c>
      <c r="E148" s="11">
        <v>13.24</v>
      </c>
      <c r="F148" t="s">
        <v>18</v>
      </c>
      <c r="G148">
        <v>16.7</v>
      </c>
      <c r="H148">
        <v>2</v>
      </c>
      <c r="I148">
        <v>115</v>
      </c>
      <c r="J148" t="str" cm="1">
        <f t="array" ref="J148">_xlfn.IFS(I148&lt;120, "Weak", I148&lt;=200, "Moderate", I148&lt;=300, "Powerful", I148&gt;300, "Super")</f>
        <v>Weak</v>
      </c>
      <c r="K148">
        <v>98.9</v>
      </c>
      <c r="L148">
        <v>68.3</v>
      </c>
      <c r="M148">
        <v>172.3</v>
      </c>
      <c r="N148">
        <v>2.8530000000000002</v>
      </c>
      <c r="O148">
        <v>14.5</v>
      </c>
      <c r="P148">
        <v>26</v>
      </c>
      <c r="Q148" s="1">
        <v>40782</v>
      </c>
      <c r="R148">
        <v>47.638236659999997</v>
      </c>
    </row>
    <row r="149" spans="1:18" x14ac:dyDescent="0.3">
      <c r="A149" t="s">
        <v>188</v>
      </c>
      <c r="B149" s="6" t="s">
        <v>191</v>
      </c>
      <c r="C149" s="6" t="str">
        <f t="shared" si="2"/>
        <v>High Sales</v>
      </c>
      <c r="D149" s="2">
        <v>51.101999999999997</v>
      </c>
      <c r="E149" s="11">
        <v>16.725000000000001</v>
      </c>
      <c r="F149" t="s">
        <v>18</v>
      </c>
      <c r="G149">
        <v>21.2</v>
      </c>
      <c r="H149">
        <v>1.8</v>
      </c>
      <c r="I149">
        <v>150</v>
      </c>
      <c r="J149" t="str" cm="1">
        <f t="array" ref="J149">_xlfn.IFS(I149&lt;120, "Weak", I149&lt;=200, "Moderate", I149&lt;=300, "Powerful", I149&gt;300, "Super")</f>
        <v>Moderate</v>
      </c>
      <c r="K149">
        <v>106.4</v>
      </c>
      <c r="L149">
        <v>68.5</v>
      </c>
      <c r="M149">
        <v>184.1</v>
      </c>
      <c r="N149">
        <v>3.0430000000000001</v>
      </c>
      <c r="O149">
        <v>16.399999999999999</v>
      </c>
      <c r="P149">
        <v>27</v>
      </c>
      <c r="Q149" s="1">
        <v>41212</v>
      </c>
      <c r="R149">
        <v>61.701381359999999</v>
      </c>
    </row>
    <row r="150" spans="1:18" x14ac:dyDescent="0.3">
      <c r="A150" t="s">
        <v>188</v>
      </c>
      <c r="B150" s="6" t="s">
        <v>192</v>
      </c>
      <c r="C150" s="6" t="str">
        <f t="shared" si="2"/>
        <v>Low Sales</v>
      </c>
      <c r="D150" s="2">
        <v>9.5690000000000008</v>
      </c>
      <c r="E150" s="11">
        <v>16.574999999999999</v>
      </c>
      <c r="F150" t="s">
        <v>18</v>
      </c>
      <c r="G150">
        <v>19.989999999999998</v>
      </c>
      <c r="H150">
        <v>2</v>
      </c>
      <c r="I150">
        <v>115</v>
      </c>
      <c r="J150" t="str" cm="1">
        <f t="array" ref="J150">_xlfn.IFS(I150&lt;120, "Weak", I150&lt;=200, "Moderate", I150&lt;=300, "Powerful", I150&gt;300, "Super")</f>
        <v>Weak</v>
      </c>
      <c r="K150">
        <v>97.4</v>
      </c>
      <c r="L150">
        <v>66.7</v>
      </c>
      <c r="M150">
        <v>160.4</v>
      </c>
      <c r="N150">
        <v>3.0790000000000002</v>
      </c>
      <c r="O150">
        <v>13.7</v>
      </c>
      <c r="P150">
        <v>26</v>
      </c>
      <c r="Q150" s="1">
        <v>40694</v>
      </c>
      <c r="R150">
        <v>48.907372250000002</v>
      </c>
    </row>
    <row r="151" spans="1:18" x14ac:dyDescent="0.3">
      <c r="A151" t="s">
        <v>188</v>
      </c>
      <c r="B151" s="6" t="s">
        <v>193</v>
      </c>
      <c r="C151" s="6" t="str">
        <f t="shared" si="2"/>
        <v>Low Sales</v>
      </c>
      <c r="D151" s="2">
        <v>5.5960000000000001</v>
      </c>
      <c r="E151" s="11">
        <v>13.76</v>
      </c>
      <c r="F151" t="s">
        <v>18</v>
      </c>
      <c r="G151">
        <v>17.5</v>
      </c>
      <c r="H151">
        <v>2</v>
      </c>
      <c r="I151">
        <v>115</v>
      </c>
      <c r="J151" t="str" cm="1">
        <f t="array" ref="J151">_xlfn.IFS(I151&lt;120, "Weak", I151&lt;=200, "Moderate", I151&lt;=300, "Powerful", I151&gt;300, "Super")</f>
        <v>Weak</v>
      </c>
      <c r="K151">
        <v>98.9</v>
      </c>
      <c r="L151">
        <v>68.3</v>
      </c>
      <c r="M151">
        <v>163.30000000000001</v>
      </c>
      <c r="N151">
        <v>2.762</v>
      </c>
      <c r="O151">
        <v>14.6</v>
      </c>
      <c r="P151">
        <v>26</v>
      </c>
      <c r="Q151" s="1">
        <v>40634</v>
      </c>
      <c r="R151">
        <v>47.946841059999997</v>
      </c>
    </row>
    <row r="152" spans="1:18" x14ac:dyDescent="0.3">
      <c r="A152" t="s">
        <v>188</v>
      </c>
      <c r="B152" s="6" t="s">
        <v>194</v>
      </c>
      <c r="C152" s="6" t="str">
        <f t="shared" si="2"/>
        <v>High Sales</v>
      </c>
      <c r="D152" s="2">
        <v>49.463000000000001</v>
      </c>
      <c r="E152" s="11"/>
      <c r="F152" t="s">
        <v>18</v>
      </c>
      <c r="G152">
        <v>15.9</v>
      </c>
      <c r="H152">
        <v>2</v>
      </c>
      <c r="I152">
        <v>115</v>
      </c>
      <c r="J152" t="str" cm="1">
        <f t="array" ref="J152">_xlfn.IFS(I152&lt;120, "Weak", I152&lt;=200, "Moderate", I152&lt;=300, "Powerful", I152&gt;300, "Super")</f>
        <v>Weak</v>
      </c>
      <c r="K152">
        <v>98.9</v>
      </c>
      <c r="L152">
        <v>67.900000000000006</v>
      </c>
      <c r="M152">
        <v>161.1</v>
      </c>
      <c r="N152">
        <v>2.7690000000000001</v>
      </c>
      <c r="O152">
        <v>14.5</v>
      </c>
      <c r="P152">
        <v>26</v>
      </c>
      <c r="Q152" s="1">
        <v>40836</v>
      </c>
      <c r="R152">
        <v>47.329632259999997</v>
      </c>
    </row>
    <row r="153" spans="1:18" x14ac:dyDescent="0.3">
      <c r="A153" t="s">
        <v>195</v>
      </c>
      <c r="B153" s="6" t="s">
        <v>196</v>
      </c>
      <c r="C153" s="6" t="str">
        <f t="shared" si="2"/>
        <v>Low Sales</v>
      </c>
      <c r="D153" s="2">
        <v>16.957000000000001</v>
      </c>
      <c r="E153" s="11"/>
      <c r="F153" t="s">
        <v>18</v>
      </c>
      <c r="G153">
        <v>23.4</v>
      </c>
      <c r="H153">
        <v>1.9</v>
      </c>
      <c r="I153">
        <v>160</v>
      </c>
      <c r="J153" t="str" cm="1">
        <f t="array" ref="J153">_xlfn.IFS(I153&lt;120, "Weak", I153&lt;=200, "Moderate", I153&lt;=300, "Powerful", I153&gt;300, "Super")</f>
        <v>Moderate</v>
      </c>
      <c r="K153">
        <v>100.5</v>
      </c>
      <c r="L153">
        <v>67.599999999999994</v>
      </c>
      <c r="M153">
        <v>176.6</v>
      </c>
      <c r="N153">
        <v>2.9980000000000002</v>
      </c>
      <c r="O153">
        <v>15.8</v>
      </c>
      <c r="P153">
        <v>25</v>
      </c>
      <c r="Q153" s="1">
        <v>40592</v>
      </c>
      <c r="R153">
        <v>66.113056799999995</v>
      </c>
    </row>
    <row r="154" spans="1:18" x14ac:dyDescent="0.3">
      <c r="A154" t="s">
        <v>195</v>
      </c>
      <c r="B154" s="6" t="s">
        <v>197</v>
      </c>
      <c r="C154" s="6" t="str">
        <f t="shared" si="2"/>
        <v>Low Sales</v>
      </c>
      <c r="D154" s="2">
        <v>3.5449999999999999</v>
      </c>
      <c r="E154" s="11"/>
      <c r="F154" t="s">
        <v>18</v>
      </c>
      <c r="G154">
        <v>24.4</v>
      </c>
      <c r="H154">
        <v>1.9</v>
      </c>
      <c r="I154">
        <v>160</v>
      </c>
      <c r="J154" t="str" cm="1">
        <f t="array" ref="J154">_xlfn.IFS(I154&lt;120, "Weak", I154&lt;=200, "Moderate", I154&lt;=300, "Powerful", I154&gt;300, "Super")</f>
        <v>Moderate</v>
      </c>
      <c r="K154">
        <v>100.5</v>
      </c>
      <c r="L154">
        <v>67.599999999999994</v>
      </c>
      <c r="M154">
        <v>176.6</v>
      </c>
      <c r="N154">
        <v>3.0419999999999998</v>
      </c>
      <c r="O154">
        <v>15.8</v>
      </c>
      <c r="P154">
        <v>25</v>
      </c>
      <c r="Q154" s="1">
        <v>40807</v>
      </c>
      <c r="R154">
        <v>66.498812299999997</v>
      </c>
    </row>
    <row r="155" spans="1:18" x14ac:dyDescent="0.3">
      <c r="A155" t="s">
        <v>195</v>
      </c>
      <c r="B155" s="6" t="s">
        <v>198</v>
      </c>
      <c r="C155" s="6" t="str">
        <f t="shared" si="2"/>
        <v>Low Sales</v>
      </c>
      <c r="D155" s="2">
        <v>15.244999999999999</v>
      </c>
      <c r="E155" s="11"/>
      <c r="F155" t="s">
        <v>18</v>
      </c>
      <c r="G155">
        <v>27.5</v>
      </c>
      <c r="H155">
        <v>2.4</v>
      </c>
      <c r="I155">
        <v>168</v>
      </c>
      <c r="J155" t="str" cm="1">
        <f t="array" ref="J155">_xlfn.IFS(I155&lt;120, "Weak", I155&lt;=200, "Moderate", I155&lt;=300, "Powerful", I155&gt;300, "Super")</f>
        <v>Moderate</v>
      </c>
      <c r="K155">
        <v>104.9</v>
      </c>
      <c r="L155">
        <v>69.3</v>
      </c>
      <c r="M155">
        <v>185.9</v>
      </c>
      <c r="N155">
        <v>3.2080000000000002</v>
      </c>
      <c r="O155">
        <v>17.899999999999999</v>
      </c>
      <c r="P155">
        <v>25</v>
      </c>
      <c r="Q155" s="1">
        <v>41237</v>
      </c>
      <c r="R155">
        <v>70.654495449999999</v>
      </c>
    </row>
    <row r="156" spans="1:18" x14ac:dyDescent="0.3">
      <c r="A156" t="s">
        <v>195</v>
      </c>
      <c r="B156" s="6" t="s">
        <v>199</v>
      </c>
      <c r="C156" s="6" t="str">
        <f t="shared" si="2"/>
        <v>Low Sales</v>
      </c>
      <c r="D156" s="2">
        <v>17.530999999999999</v>
      </c>
      <c r="E156" s="11"/>
      <c r="F156" t="s">
        <v>18</v>
      </c>
      <c r="G156">
        <v>28.8</v>
      </c>
      <c r="H156">
        <v>2.4</v>
      </c>
      <c r="I156">
        <v>168</v>
      </c>
      <c r="J156" t="str" cm="1">
        <f t="array" ref="J156">_xlfn.IFS(I156&lt;120, "Weak", I156&lt;=200, "Moderate", I156&lt;=300, "Powerful", I156&gt;300, "Super")</f>
        <v>Moderate</v>
      </c>
      <c r="K156">
        <v>104.9</v>
      </c>
      <c r="L156">
        <v>69.3</v>
      </c>
      <c r="M156">
        <v>186.2</v>
      </c>
      <c r="N156">
        <v>3.2589999999999999</v>
      </c>
      <c r="O156">
        <v>17.899999999999999</v>
      </c>
      <c r="P156">
        <v>25</v>
      </c>
      <c r="Q156" s="1">
        <v>40719</v>
      </c>
      <c r="R156">
        <v>71.1559776</v>
      </c>
    </row>
    <row r="157" spans="1:18" x14ac:dyDescent="0.3">
      <c r="A157" t="s">
        <v>195</v>
      </c>
      <c r="B157" s="6" t="s">
        <v>200</v>
      </c>
      <c r="C157" s="6" t="str">
        <f t="shared" si="2"/>
        <v>Low Sales</v>
      </c>
      <c r="D157" s="2">
        <v>3.4929999999999999</v>
      </c>
      <c r="E157" s="11"/>
      <c r="F157" t="s">
        <v>18</v>
      </c>
      <c r="G157">
        <v>45.5</v>
      </c>
      <c r="H157">
        <v>2.2999999999999998</v>
      </c>
      <c r="I157">
        <v>236</v>
      </c>
      <c r="J157" t="str" cm="1">
        <f t="array" ref="J157">_xlfn.IFS(I157&lt;120, "Weak", I157&lt;=200, "Moderate", I157&lt;=300, "Powerful", I157&gt;300, "Super")</f>
        <v>Powerful</v>
      </c>
      <c r="K157">
        <v>104.9</v>
      </c>
      <c r="L157">
        <v>71.5</v>
      </c>
      <c r="M157">
        <v>185.7</v>
      </c>
      <c r="N157">
        <v>3.601</v>
      </c>
      <c r="O157">
        <v>18.5</v>
      </c>
      <c r="P157">
        <v>23</v>
      </c>
      <c r="Q157" s="1">
        <v>40659</v>
      </c>
      <c r="R157">
        <v>101.6233572</v>
      </c>
    </row>
    <row r="158" spans="1:18" x14ac:dyDescent="0.3">
      <c r="A158" t="s">
        <v>195</v>
      </c>
      <c r="B158" s="6" t="s">
        <v>201</v>
      </c>
      <c r="C158" s="6" t="str">
        <f t="shared" si="2"/>
        <v>Low Sales</v>
      </c>
      <c r="D158" s="2">
        <v>18.969000000000001</v>
      </c>
      <c r="E158" s="11"/>
      <c r="F158" t="s">
        <v>18</v>
      </c>
      <c r="G158">
        <v>36</v>
      </c>
      <c r="H158">
        <v>2.9</v>
      </c>
      <c r="I158">
        <v>201</v>
      </c>
      <c r="J158" t="str" cm="1">
        <f t="array" ref="J158">_xlfn.IFS(I158&lt;120, "Weak", I158&lt;=200, "Moderate", I158&lt;=300, "Powerful", I158&gt;300, "Super")</f>
        <v>Powerful</v>
      </c>
      <c r="K158">
        <v>109.9</v>
      </c>
      <c r="L158">
        <v>72.099999999999994</v>
      </c>
      <c r="M158">
        <v>189.8</v>
      </c>
      <c r="N158">
        <v>3.6</v>
      </c>
      <c r="O158">
        <v>21.1</v>
      </c>
      <c r="P158">
        <v>24</v>
      </c>
      <c r="Q158" s="1">
        <v>40861</v>
      </c>
      <c r="R158">
        <v>85.735654510000003</v>
      </c>
    </row>
  </sheetData>
  <conditionalFormatting sqref="C2:C158">
    <cfRule type="containsText" dxfId="12" priority="6" operator="containsText" text="Low Sales">
      <formula>NOT(ISERROR(SEARCH("Low Sales",C2)))</formula>
    </cfRule>
    <cfRule type="containsText" dxfId="11" priority="7" operator="containsText" text="High Sales">
      <formula>NOT(ISERROR(SEARCH("High Sales",C2)))</formula>
    </cfRule>
  </conditionalFormatting>
  <conditionalFormatting sqref="J1:J158">
    <cfRule type="containsText" dxfId="10" priority="1" operator="containsText" text="weak">
      <formula>NOT(ISERROR(SEARCH("weak",J1)))</formula>
    </cfRule>
    <cfRule type="containsText" dxfId="9" priority="2" operator="containsText" text="Super">
      <formula>NOT(ISERROR(SEARCH("Super",J1)))</formula>
    </cfRule>
    <cfRule type="containsText" dxfId="8" priority="3" operator="containsText" text="Moderate">
      <formula>NOT(ISERROR(SEARCH("Moderate",J1)))</formula>
    </cfRule>
    <cfRule type="containsText" dxfId="7" priority="4" operator="containsText" text="Powerful">
      <formula>NOT(ISERROR(SEARCH("Powerful",J1)))</formula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5202-8A44-426B-8AC3-AF3E35A00A2B}">
  <dimension ref="A1:R158"/>
  <sheetViews>
    <sheetView workbookViewId="0">
      <selection activeCell="G8" sqref="G8"/>
    </sheetView>
  </sheetViews>
  <sheetFormatPr defaultRowHeight="14.4" x14ac:dyDescent="0.3"/>
  <sheetData>
    <row r="1" spans="1:18" ht="15.6" x14ac:dyDescent="0.3">
      <c r="A1" s="34" t="s">
        <v>224</v>
      </c>
      <c r="B1" s="35" t="s">
        <v>225</v>
      </c>
      <c r="C1" s="35" t="s">
        <v>226</v>
      </c>
      <c r="D1" s="35" t="s">
        <v>227</v>
      </c>
      <c r="E1" s="35" t="s">
        <v>228</v>
      </c>
      <c r="F1" s="35" t="s">
        <v>229</v>
      </c>
      <c r="G1" s="35" t="s">
        <v>230</v>
      </c>
      <c r="H1" s="35" t="s">
        <v>231</v>
      </c>
      <c r="I1" s="35" t="s">
        <v>232</v>
      </c>
      <c r="J1" s="35" t="s">
        <v>233</v>
      </c>
      <c r="K1" s="35" t="s">
        <v>234</v>
      </c>
      <c r="L1" s="35" t="s">
        <v>235</v>
      </c>
      <c r="M1" s="35" t="s">
        <v>236</v>
      </c>
      <c r="N1" s="35" t="s">
        <v>237</v>
      </c>
      <c r="O1" s="32"/>
      <c r="P1" s="32"/>
      <c r="Q1" s="32"/>
      <c r="R1" s="33"/>
    </row>
    <row r="2" spans="1:18" x14ac:dyDescent="0.3">
      <c r="A2" s="34" t="s">
        <v>238</v>
      </c>
      <c r="B2" s="35">
        <v>1190</v>
      </c>
      <c r="C2" s="35">
        <v>1334</v>
      </c>
      <c r="D2" s="35">
        <v>1631</v>
      </c>
      <c r="E2" s="35">
        <v>1163</v>
      </c>
      <c r="F2" s="35">
        <v>1454</v>
      </c>
      <c r="G2" s="35">
        <v>1263</v>
      </c>
      <c r="H2" s="35">
        <v>1767</v>
      </c>
      <c r="I2" s="35">
        <v>1666</v>
      </c>
      <c r="J2" s="35">
        <v>1255</v>
      </c>
      <c r="K2" s="35">
        <v>1352</v>
      </c>
      <c r="L2" s="35">
        <v>1512</v>
      </c>
      <c r="M2" s="35">
        <v>1120</v>
      </c>
      <c r="N2" s="35">
        <v>1927</v>
      </c>
      <c r="O2" s="14"/>
      <c r="P2" s="14"/>
      <c r="Q2" s="27"/>
      <c r="R2" s="15"/>
    </row>
    <row r="3" spans="1:18" x14ac:dyDescent="0.3">
      <c r="A3" s="34" t="s">
        <v>239</v>
      </c>
      <c r="B3" s="36">
        <v>919738</v>
      </c>
      <c r="C3" s="36">
        <v>868450</v>
      </c>
      <c r="D3" s="36">
        <v>970292</v>
      </c>
      <c r="E3" s="36">
        <v>974125</v>
      </c>
      <c r="F3" s="36">
        <v>995086</v>
      </c>
      <c r="G3" s="36">
        <v>996563</v>
      </c>
      <c r="H3" s="36">
        <v>747511</v>
      </c>
      <c r="I3" s="36">
        <v>735280</v>
      </c>
      <c r="J3" s="36">
        <v>764439</v>
      </c>
      <c r="K3" s="36">
        <v>917987</v>
      </c>
      <c r="L3" s="36">
        <v>778095</v>
      </c>
      <c r="M3" s="36">
        <v>963652</v>
      </c>
      <c r="N3" s="36">
        <v>709624</v>
      </c>
      <c r="O3" s="14"/>
      <c r="P3" s="14"/>
      <c r="Q3" s="27"/>
      <c r="R3" s="15"/>
    </row>
    <row r="4" spans="1:18" x14ac:dyDescent="0.3">
      <c r="A4" s="34" t="s">
        <v>240</v>
      </c>
      <c r="B4" s="36">
        <v>206941.05000000002</v>
      </c>
      <c r="C4" s="36">
        <v>195401.25</v>
      </c>
      <c r="D4" s="36">
        <v>218315.7</v>
      </c>
      <c r="E4" s="36">
        <v>219178.125</v>
      </c>
      <c r="F4" s="36">
        <v>223894.35</v>
      </c>
      <c r="G4" s="36">
        <v>224226.67500000002</v>
      </c>
      <c r="H4" s="36">
        <v>168189.97500000001</v>
      </c>
      <c r="I4" s="36">
        <v>165438</v>
      </c>
      <c r="J4" s="36">
        <v>171998.77499999999</v>
      </c>
      <c r="K4" s="36">
        <v>206547.07500000001</v>
      </c>
      <c r="L4" s="36">
        <v>175071.375</v>
      </c>
      <c r="M4" s="36">
        <v>216821.7</v>
      </c>
      <c r="N4" s="36">
        <v>159665.4</v>
      </c>
      <c r="O4" s="14"/>
      <c r="P4" s="14"/>
      <c r="Q4" s="27"/>
      <c r="R4" s="15"/>
    </row>
    <row r="5" spans="1:18" x14ac:dyDescent="0.3">
      <c r="O5" s="14"/>
      <c r="P5" s="14"/>
      <c r="Q5" s="27"/>
      <c r="R5" s="15"/>
    </row>
    <row r="6" spans="1:18" x14ac:dyDescent="0.3">
      <c r="A6" s="37" t="s">
        <v>224</v>
      </c>
      <c r="B6" s="37" t="s">
        <v>240</v>
      </c>
      <c r="C6" s="8"/>
      <c r="D6" s="38"/>
      <c r="E6" s="8"/>
      <c r="F6" s="8"/>
      <c r="O6" s="14"/>
      <c r="P6" s="14"/>
      <c r="Q6" s="27"/>
      <c r="R6" s="15"/>
    </row>
    <row r="7" spans="1:18" x14ac:dyDescent="0.3">
      <c r="A7" s="8" t="s">
        <v>229</v>
      </c>
      <c r="B7" s="38">
        <f>HLOOKUP(A7,A1:N4,4,FALSE)</f>
        <v>223894.35</v>
      </c>
      <c r="D7" s="38"/>
      <c r="E7" s="38"/>
      <c r="F7" s="38"/>
      <c r="G7" s="38"/>
      <c r="H7" s="38"/>
      <c r="O7" s="14"/>
      <c r="P7" s="14"/>
      <c r="Q7" s="27"/>
      <c r="R7" s="15"/>
    </row>
    <row r="8" spans="1:18" x14ac:dyDescent="0.3">
      <c r="A8" s="8" t="s">
        <v>227</v>
      </c>
      <c r="B8" s="38">
        <f>HLOOKUP(A8,A1:N4,4,FALSE)</f>
        <v>218315.7</v>
      </c>
      <c r="C8" s="24"/>
      <c r="D8" s="25"/>
      <c r="E8" s="35"/>
      <c r="F8" s="38"/>
      <c r="G8" s="14"/>
      <c r="H8" s="14"/>
      <c r="I8" s="14"/>
      <c r="K8" s="14"/>
      <c r="L8" s="14"/>
      <c r="M8" s="14"/>
      <c r="N8" s="14"/>
      <c r="O8" s="14"/>
      <c r="P8" s="14"/>
      <c r="Q8" s="27"/>
      <c r="R8" s="15"/>
    </row>
    <row r="9" spans="1:18" x14ac:dyDescent="0.3">
      <c r="A9" s="8" t="s">
        <v>229</v>
      </c>
      <c r="B9" s="38">
        <f>HLOOKUP(A9,A1:N4,4,FALSE)</f>
        <v>223894.35</v>
      </c>
      <c r="C9" s="24"/>
      <c r="D9" s="25"/>
      <c r="E9" s="35"/>
      <c r="F9" s="38"/>
      <c r="G9" s="14"/>
      <c r="H9" s="14"/>
      <c r="I9" s="14"/>
      <c r="K9" s="14"/>
      <c r="L9" s="14"/>
      <c r="M9" s="14"/>
      <c r="N9" s="14"/>
      <c r="O9" s="14"/>
      <c r="P9" s="14"/>
      <c r="Q9" s="27"/>
      <c r="R9" s="15"/>
    </row>
    <row r="10" spans="1:18" x14ac:dyDescent="0.3">
      <c r="A10" s="8" t="s">
        <v>234</v>
      </c>
      <c r="B10" s="38">
        <f>HLOOKUP(A10,A1:N4,4,FALSE)</f>
        <v>206547.07500000001</v>
      </c>
      <c r="C10" s="24"/>
      <c r="D10" s="25"/>
      <c r="E10" s="26"/>
      <c r="F10" s="14"/>
      <c r="G10" s="14"/>
      <c r="H10" s="14"/>
      <c r="I10" s="14"/>
      <c r="K10" s="14"/>
      <c r="L10" s="14"/>
      <c r="M10" s="14"/>
      <c r="N10" s="14"/>
      <c r="O10" s="14"/>
      <c r="P10" s="14"/>
      <c r="Q10" s="27"/>
      <c r="R10" s="15"/>
    </row>
    <row r="11" spans="1:18" x14ac:dyDescent="0.3">
      <c r="A11" s="13"/>
      <c r="B11" s="38"/>
      <c r="C11" s="24"/>
      <c r="D11" s="25"/>
      <c r="E11" s="26"/>
      <c r="F11" s="14"/>
      <c r="G11" s="14"/>
      <c r="H11" s="14"/>
      <c r="I11" s="14"/>
      <c r="K11" s="14"/>
      <c r="L11" s="14"/>
      <c r="M11" s="14"/>
      <c r="N11" s="14"/>
      <c r="O11" s="14"/>
      <c r="P11" s="14"/>
      <c r="Q11" s="27"/>
      <c r="R11" s="15"/>
    </row>
    <row r="12" spans="1:18" x14ac:dyDescent="0.3">
      <c r="A12" s="13"/>
      <c r="B12" s="24"/>
      <c r="C12" s="24"/>
      <c r="D12" s="25"/>
      <c r="E12" s="26"/>
      <c r="F12" s="14"/>
      <c r="G12" s="14"/>
      <c r="H12" s="14"/>
      <c r="I12" s="14"/>
      <c r="K12" s="14"/>
      <c r="L12" s="14"/>
      <c r="M12" s="14"/>
      <c r="N12" s="14"/>
      <c r="O12" s="14"/>
      <c r="P12" s="14"/>
      <c r="Q12" s="27"/>
      <c r="R12" s="15"/>
    </row>
    <row r="13" spans="1:18" x14ac:dyDescent="0.3">
      <c r="A13" s="13"/>
      <c r="B13" s="24"/>
      <c r="C13" s="24"/>
      <c r="D13" s="25"/>
      <c r="E13" s="26"/>
      <c r="F13" s="14"/>
      <c r="G13" s="14"/>
      <c r="H13" s="14"/>
      <c r="I13" s="14"/>
      <c r="K13" s="14"/>
      <c r="L13" s="14"/>
      <c r="M13" s="14"/>
      <c r="N13" s="14"/>
      <c r="O13" s="14"/>
      <c r="P13" s="14"/>
      <c r="Q13" s="27"/>
      <c r="R13" s="15"/>
    </row>
    <row r="14" spans="1:18" x14ac:dyDescent="0.3">
      <c r="A14" s="13"/>
      <c r="B14" s="24"/>
      <c r="C14" s="24"/>
      <c r="D14" s="25"/>
      <c r="E14" s="26"/>
      <c r="F14" s="14"/>
      <c r="G14" s="14"/>
      <c r="H14" s="14"/>
      <c r="I14" s="14"/>
      <c r="K14" s="14"/>
      <c r="L14" s="14"/>
      <c r="M14" s="14"/>
      <c r="N14" s="14"/>
      <c r="O14" s="14"/>
      <c r="P14" s="14"/>
      <c r="Q14" s="27"/>
      <c r="R14" s="15"/>
    </row>
    <row r="15" spans="1:18" x14ac:dyDescent="0.3">
      <c r="A15" s="13"/>
      <c r="B15" s="24"/>
      <c r="C15" s="24"/>
      <c r="D15" s="25"/>
      <c r="E15" s="26"/>
      <c r="F15" s="14"/>
      <c r="G15" s="14"/>
      <c r="H15" s="14"/>
      <c r="I15" s="14"/>
      <c r="K15" s="14"/>
      <c r="L15" s="14"/>
      <c r="M15" s="14"/>
      <c r="N15" s="14"/>
      <c r="O15" s="14"/>
      <c r="P15" s="14"/>
      <c r="Q15" s="27"/>
      <c r="R15" s="15"/>
    </row>
    <row r="16" spans="1:18" x14ac:dyDescent="0.3">
      <c r="A16" s="13"/>
      <c r="B16" s="24"/>
      <c r="C16" s="24"/>
      <c r="D16" s="25"/>
      <c r="E16" s="26"/>
      <c r="F16" s="14"/>
      <c r="G16" s="14"/>
      <c r="H16" s="14"/>
      <c r="I16" s="14"/>
      <c r="K16" s="14"/>
      <c r="L16" s="14"/>
      <c r="M16" s="14"/>
      <c r="N16" s="14"/>
      <c r="O16" s="14"/>
      <c r="P16" s="14"/>
      <c r="Q16" s="27"/>
      <c r="R16" s="15"/>
    </row>
    <row r="17" spans="1:18" x14ac:dyDescent="0.3">
      <c r="A17" s="13"/>
      <c r="B17" s="24"/>
      <c r="C17" s="24"/>
      <c r="D17" s="25"/>
      <c r="E17" s="26"/>
      <c r="F17" s="14"/>
      <c r="G17" s="14"/>
      <c r="H17" s="14"/>
      <c r="I17" s="14"/>
      <c r="K17" s="14"/>
      <c r="L17" s="14"/>
      <c r="M17" s="14"/>
      <c r="N17" s="14"/>
      <c r="O17" s="14"/>
      <c r="P17" s="14"/>
      <c r="Q17" s="27"/>
      <c r="R17" s="15"/>
    </row>
    <row r="18" spans="1:18" x14ac:dyDescent="0.3">
      <c r="A18" s="13"/>
      <c r="B18" s="24"/>
      <c r="C18" s="24"/>
      <c r="D18" s="25"/>
      <c r="E18" s="26"/>
      <c r="F18" s="14"/>
      <c r="G18" s="14"/>
      <c r="H18" s="14"/>
      <c r="I18" s="14"/>
      <c r="K18" s="14"/>
      <c r="L18" s="14"/>
      <c r="M18" s="14"/>
      <c r="N18" s="14"/>
      <c r="O18" s="14"/>
      <c r="P18" s="14"/>
      <c r="Q18" s="27"/>
      <c r="R18" s="15"/>
    </row>
    <row r="19" spans="1:18" x14ac:dyDescent="0.3">
      <c r="A19" s="13"/>
      <c r="B19" s="24"/>
      <c r="C19" s="24"/>
      <c r="D19" s="25"/>
      <c r="E19" s="26"/>
      <c r="F19" s="14"/>
      <c r="G19" s="14"/>
      <c r="H19" s="14"/>
      <c r="I19" s="14"/>
      <c r="K19" s="14"/>
      <c r="L19" s="14"/>
      <c r="M19" s="14"/>
      <c r="N19" s="14"/>
      <c r="O19" s="14"/>
      <c r="P19" s="14"/>
      <c r="Q19" s="27"/>
      <c r="R19" s="15"/>
    </row>
    <row r="20" spans="1:18" x14ac:dyDescent="0.3">
      <c r="A20" s="13"/>
      <c r="B20" s="24"/>
      <c r="C20" s="24"/>
      <c r="D20" s="25"/>
      <c r="E20" s="26"/>
      <c r="F20" s="14"/>
      <c r="G20" s="14"/>
      <c r="H20" s="14"/>
      <c r="I20" s="14"/>
      <c r="K20" s="14"/>
      <c r="L20" s="14"/>
      <c r="M20" s="14"/>
      <c r="N20" s="14"/>
      <c r="O20" s="14"/>
      <c r="P20" s="14"/>
      <c r="Q20" s="27"/>
      <c r="R20" s="15"/>
    </row>
    <row r="21" spans="1:18" x14ac:dyDescent="0.3">
      <c r="A21" s="13"/>
      <c r="B21" s="24"/>
      <c r="C21" s="24"/>
      <c r="D21" s="25"/>
      <c r="E21" s="26"/>
      <c r="F21" s="14"/>
      <c r="G21" s="14"/>
      <c r="H21" s="14"/>
      <c r="I21" s="14"/>
      <c r="K21" s="14"/>
      <c r="L21" s="14"/>
      <c r="M21" s="14"/>
      <c r="N21" s="14"/>
      <c r="O21" s="14"/>
      <c r="P21" s="14"/>
      <c r="Q21" s="27"/>
      <c r="R21" s="15"/>
    </row>
    <row r="22" spans="1:18" x14ac:dyDescent="0.3">
      <c r="A22" s="13"/>
      <c r="B22" s="24"/>
      <c r="C22" s="24"/>
      <c r="D22" s="25"/>
      <c r="E22" s="26"/>
      <c r="F22" s="14"/>
      <c r="G22" s="14"/>
      <c r="H22" s="14"/>
      <c r="I22" s="14"/>
      <c r="K22" s="14"/>
      <c r="L22" s="14"/>
      <c r="M22" s="14"/>
      <c r="N22" s="14"/>
      <c r="O22" s="14"/>
      <c r="P22" s="14"/>
      <c r="Q22" s="27"/>
      <c r="R22" s="15"/>
    </row>
    <row r="23" spans="1:18" x14ac:dyDescent="0.3">
      <c r="A23" s="13"/>
      <c r="B23" s="24"/>
      <c r="C23" s="24"/>
      <c r="D23" s="25"/>
      <c r="E23" s="26"/>
      <c r="F23" s="14"/>
      <c r="G23" s="14"/>
      <c r="H23" s="14"/>
      <c r="I23" s="14"/>
      <c r="K23" s="14"/>
      <c r="L23" s="14"/>
      <c r="M23" s="14"/>
      <c r="N23" s="14"/>
      <c r="O23" s="14"/>
      <c r="P23" s="14"/>
      <c r="Q23" s="27"/>
      <c r="R23" s="15"/>
    </row>
    <row r="24" spans="1:18" x14ac:dyDescent="0.3">
      <c r="A24" s="13"/>
      <c r="B24" s="24"/>
      <c r="C24" s="24"/>
      <c r="D24" s="25"/>
      <c r="E24" s="26"/>
      <c r="F24" s="14"/>
      <c r="G24" s="14"/>
      <c r="H24" s="14"/>
      <c r="I24" s="14"/>
      <c r="K24" s="14"/>
      <c r="L24" s="14"/>
      <c r="M24" s="14"/>
      <c r="N24" s="14"/>
      <c r="O24" s="14"/>
      <c r="P24" s="14"/>
      <c r="Q24" s="27"/>
      <c r="R24" s="15"/>
    </row>
    <row r="25" spans="1:18" x14ac:dyDescent="0.3">
      <c r="A25" s="13"/>
      <c r="B25" s="24"/>
      <c r="C25" s="24"/>
      <c r="D25" s="25"/>
      <c r="E25" s="26"/>
      <c r="F25" s="14"/>
      <c r="G25" s="14"/>
      <c r="H25" s="14"/>
      <c r="I25" s="14"/>
      <c r="K25" s="14"/>
      <c r="L25" s="14"/>
      <c r="M25" s="14"/>
      <c r="N25" s="14"/>
      <c r="O25" s="14"/>
      <c r="P25" s="14"/>
      <c r="Q25" s="27"/>
      <c r="R25" s="15"/>
    </row>
    <row r="26" spans="1:18" x14ac:dyDescent="0.3">
      <c r="A26" s="13"/>
      <c r="B26" s="24"/>
      <c r="C26" s="24"/>
      <c r="D26" s="25"/>
      <c r="E26" s="26"/>
      <c r="F26" s="14"/>
      <c r="G26" s="14"/>
      <c r="H26" s="14"/>
      <c r="I26" s="14"/>
      <c r="K26" s="14"/>
      <c r="L26" s="14"/>
      <c r="M26" s="14"/>
      <c r="N26" s="14"/>
      <c r="O26" s="14"/>
      <c r="P26" s="14"/>
      <c r="Q26" s="27"/>
      <c r="R26" s="15"/>
    </row>
    <row r="27" spans="1:18" x14ac:dyDescent="0.3">
      <c r="A27" s="13"/>
      <c r="B27" s="24"/>
      <c r="C27" s="24"/>
      <c r="D27" s="25"/>
      <c r="E27" s="26"/>
      <c r="F27" s="14"/>
      <c r="G27" s="14"/>
      <c r="H27" s="14"/>
      <c r="I27" s="14"/>
      <c r="K27" s="14"/>
      <c r="L27" s="14"/>
      <c r="M27" s="14"/>
      <c r="N27" s="14"/>
      <c r="O27" s="14"/>
      <c r="P27" s="14"/>
      <c r="Q27" s="27"/>
      <c r="R27" s="15"/>
    </row>
    <row r="28" spans="1:18" x14ac:dyDescent="0.3">
      <c r="A28" s="13"/>
      <c r="B28" s="24"/>
      <c r="C28" s="24"/>
      <c r="D28" s="25"/>
      <c r="E28" s="26"/>
      <c r="F28" s="14"/>
      <c r="G28" s="14"/>
      <c r="H28" s="14"/>
      <c r="I28" s="14"/>
      <c r="K28" s="14"/>
      <c r="L28" s="14"/>
      <c r="M28" s="14"/>
      <c r="N28" s="14"/>
      <c r="O28" s="14"/>
      <c r="P28" s="14"/>
      <c r="Q28" s="27"/>
      <c r="R28" s="15"/>
    </row>
    <row r="29" spans="1:18" x14ac:dyDescent="0.3">
      <c r="A29" s="13"/>
      <c r="B29" s="24"/>
      <c r="C29" s="24"/>
      <c r="D29" s="25"/>
      <c r="E29" s="26"/>
      <c r="F29" s="14"/>
      <c r="G29" s="14"/>
      <c r="H29" s="14"/>
      <c r="I29" s="14"/>
      <c r="K29" s="14"/>
      <c r="L29" s="14"/>
      <c r="M29" s="14"/>
      <c r="N29" s="14"/>
      <c r="O29" s="14"/>
      <c r="P29" s="14"/>
      <c r="Q29" s="27"/>
      <c r="R29" s="15"/>
    </row>
    <row r="30" spans="1:18" x14ac:dyDescent="0.3">
      <c r="A30" s="13"/>
      <c r="B30" s="24"/>
      <c r="C30" s="24"/>
      <c r="D30" s="25"/>
      <c r="E30" s="26"/>
      <c r="F30" s="14"/>
      <c r="G30" s="14"/>
      <c r="H30" s="14"/>
      <c r="I30" s="14"/>
      <c r="K30" s="14"/>
      <c r="L30" s="14"/>
      <c r="M30" s="14"/>
      <c r="N30" s="14"/>
      <c r="O30" s="14"/>
      <c r="P30" s="14"/>
      <c r="Q30" s="27"/>
      <c r="R30" s="15"/>
    </row>
    <row r="31" spans="1:18" x14ac:dyDescent="0.3">
      <c r="A31" s="13"/>
      <c r="B31" s="24"/>
      <c r="C31" s="24"/>
      <c r="D31" s="25"/>
      <c r="E31" s="26"/>
      <c r="F31" s="14"/>
      <c r="G31" s="14"/>
      <c r="H31" s="14"/>
      <c r="I31" s="14"/>
      <c r="K31" s="14"/>
      <c r="L31" s="14"/>
      <c r="M31" s="14"/>
      <c r="N31" s="14"/>
      <c r="O31" s="14"/>
      <c r="P31" s="14"/>
      <c r="Q31" s="27"/>
      <c r="R31" s="15"/>
    </row>
    <row r="32" spans="1:18" x14ac:dyDescent="0.3">
      <c r="A32" s="13"/>
      <c r="B32" s="24"/>
      <c r="C32" s="24"/>
      <c r="D32" s="25"/>
      <c r="E32" s="26"/>
      <c r="F32" s="14"/>
      <c r="G32" s="14"/>
      <c r="H32" s="14"/>
      <c r="I32" s="14"/>
      <c r="K32" s="14"/>
      <c r="L32" s="14"/>
      <c r="M32" s="14"/>
      <c r="N32" s="14"/>
      <c r="O32" s="14"/>
      <c r="P32" s="14"/>
      <c r="Q32" s="27"/>
      <c r="R32" s="15"/>
    </row>
    <row r="33" spans="1:18" x14ac:dyDescent="0.3">
      <c r="A33" s="13"/>
      <c r="B33" s="24"/>
      <c r="C33" s="24"/>
      <c r="D33" s="25"/>
      <c r="E33" s="26"/>
      <c r="F33" s="14"/>
      <c r="G33" s="14"/>
      <c r="H33" s="14"/>
      <c r="I33" s="14"/>
      <c r="K33" s="14"/>
      <c r="L33" s="14"/>
      <c r="M33" s="14"/>
      <c r="N33" s="14"/>
      <c r="O33" s="14"/>
      <c r="P33" s="14"/>
      <c r="Q33" s="27"/>
      <c r="R33" s="15"/>
    </row>
    <row r="34" spans="1:18" x14ac:dyDescent="0.3">
      <c r="A34" s="13"/>
      <c r="B34" s="24"/>
      <c r="C34" s="24"/>
      <c r="D34" s="25"/>
      <c r="E34" s="26"/>
      <c r="F34" s="14"/>
      <c r="G34" s="14"/>
      <c r="H34" s="14"/>
      <c r="I34" s="14"/>
      <c r="K34" s="14"/>
      <c r="L34" s="14"/>
      <c r="M34" s="14"/>
      <c r="N34" s="14"/>
      <c r="O34" s="14"/>
      <c r="P34" s="14"/>
      <c r="Q34" s="27"/>
      <c r="R34" s="15"/>
    </row>
    <row r="35" spans="1:18" x14ac:dyDescent="0.3">
      <c r="A35" s="13"/>
      <c r="B35" s="24"/>
      <c r="C35" s="24"/>
      <c r="D35" s="25"/>
      <c r="E35" s="26"/>
      <c r="F35" s="14"/>
      <c r="G35" s="14"/>
      <c r="H35" s="14"/>
      <c r="I35" s="14"/>
      <c r="K35" s="14"/>
      <c r="L35" s="14"/>
      <c r="M35" s="14"/>
      <c r="N35" s="14"/>
      <c r="O35" s="14"/>
      <c r="P35" s="14"/>
      <c r="Q35" s="27"/>
      <c r="R35" s="15"/>
    </row>
    <row r="36" spans="1:18" x14ac:dyDescent="0.3">
      <c r="A36" s="13"/>
      <c r="B36" s="24"/>
      <c r="C36" s="24"/>
      <c r="D36" s="25"/>
      <c r="E36" s="26"/>
      <c r="F36" s="14"/>
      <c r="G36" s="14"/>
      <c r="H36" s="14"/>
      <c r="I36" s="14"/>
      <c r="K36" s="14"/>
      <c r="L36" s="14"/>
      <c r="M36" s="14"/>
      <c r="N36" s="14"/>
      <c r="O36" s="14"/>
      <c r="P36" s="14"/>
      <c r="Q36" s="27"/>
      <c r="R36" s="15"/>
    </row>
    <row r="37" spans="1:18" x14ac:dyDescent="0.3">
      <c r="A37" s="13"/>
      <c r="B37" s="24"/>
      <c r="C37" s="24"/>
      <c r="D37" s="25"/>
      <c r="E37" s="26"/>
      <c r="F37" s="14"/>
      <c r="G37" s="14"/>
      <c r="H37" s="14"/>
      <c r="I37" s="14"/>
      <c r="K37" s="14"/>
      <c r="L37" s="14"/>
      <c r="M37" s="14"/>
      <c r="N37" s="14"/>
      <c r="O37" s="14"/>
      <c r="P37" s="14"/>
      <c r="Q37" s="27"/>
      <c r="R37" s="15"/>
    </row>
    <row r="38" spans="1:18" x14ac:dyDescent="0.3">
      <c r="A38" s="13"/>
      <c r="B38" s="24"/>
      <c r="C38" s="24"/>
      <c r="D38" s="25"/>
      <c r="E38" s="26"/>
      <c r="F38" s="14"/>
      <c r="G38" s="14"/>
      <c r="H38" s="14"/>
      <c r="I38" s="14"/>
      <c r="K38" s="14"/>
      <c r="L38" s="14"/>
      <c r="M38" s="14"/>
      <c r="N38" s="14"/>
      <c r="O38" s="14"/>
      <c r="P38" s="14"/>
      <c r="Q38" s="27"/>
      <c r="R38" s="15"/>
    </row>
    <row r="39" spans="1:18" x14ac:dyDescent="0.3">
      <c r="A39" s="13"/>
      <c r="B39" s="24"/>
      <c r="C39" s="24"/>
      <c r="D39" s="25"/>
      <c r="E39" s="26"/>
      <c r="F39" s="14"/>
      <c r="G39" s="14"/>
      <c r="H39" s="14"/>
      <c r="I39" s="14"/>
      <c r="K39" s="14"/>
      <c r="L39" s="14"/>
      <c r="M39" s="14"/>
      <c r="N39" s="14"/>
      <c r="O39" s="14"/>
      <c r="P39" s="14"/>
      <c r="Q39" s="27"/>
      <c r="R39" s="15"/>
    </row>
    <row r="40" spans="1:18" x14ac:dyDescent="0.3">
      <c r="A40" s="13"/>
      <c r="B40" s="24"/>
      <c r="C40" s="24"/>
      <c r="D40" s="25"/>
      <c r="E40" s="26"/>
      <c r="F40" s="14"/>
      <c r="G40" s="14"/>
      <c r="H40" s="14"/>
      <c r="I40" s="14"/>
      <c r="K40" s="14"/>
      <c r="L40" s="14"/>
      <c r="M40" s="14"/>
      <c r="N40" s="14"/>
      <c r="O40" s="14"/>
      <c r="P40" s="14"/>
      <c r="Q40" s="27"/>
      <c r="R40" s="15"/>
    </row>
    <row r="41" spans="1:18" x14ac:dyDescent="0.3">
      <c r="A41" s="13"/>
      <c r="B41" s="24"/>
      <c r="C41" s="24"/>
      <c r="D41" s="25"/>
      <c r="E41" s="26"/>
      <c r="F41" s="14"/>
      <c r="G41" s="14"/>
      <c r="H41" s="14"/>
      <c r="I41" s="14"/>
      <c r="K41" s="14"/>
      <c r="L41" s="14"/>
      <c r="M41" s="14"/>
      <c r="N41" s="14"/>
      <c r="O41" s="14"/>
      <c r="P41" s="14"/>
      <c r="Q41" s="27"/>
      <c r="R41" s="15"/>
    </row>
    <row r="42" spans="1:18" x14ac:dyDescent="0.3">
      <c r="A42" s="13"/>
      <c r="B42" s="24"/>
      <c r="C42" s="24"/>
      <c r="D42" s="25"/>
      <c r="E42" s="26"/>
      <c r="F42" s="14"/>
      <c r="G42" s="14"/>
      <c r="H42" s="14"/>
      <c r="I42" s="14"/>
      <c r="K42" s="14"/>
      <c r="L42" s="14"/>
      <c r="M42" s="14"/>
      <c r="N42" s="14"/>
      <c r="O42" s="14"/>
      <c r="P42" s="14"/>
      <c r="Q42" s="27"/>
      <c r="R42" s="15"/>
    </row>
    <row r="43" spans="1:18" x14ac:dyDescent="0.3">
      <c r="A43" s="13"/>
      <c r="B43" s="24"/>
      <c r="C43" s="24"/>
      <c r="D43" s="25"/>
      <c r="E43" s="26"/>
      <c r="F43" s="14"/>
      <c r="G43" s="14"/>
      <c r="H43" s="14"/>
      <c r="I43" s="14"/>
      <c r="K43" s="14"/>
      <c r="L43" s="14"/>
      <c r="M43" s="14"/>
      <c r="N43" s="14"/>
      <c r="O43" s="14"/>
      <c r="P43" s="14"/>
      <c r="Q43" s="27"/>
      <c r="R43" s="15"/>
    </row>
    <row r="44" spans="1:18" x14ac:dyDescent="0.3">
      <c r="A44" s="13"/>
      <c r="B44" s="24"/>
      <c r="C44" s="24"/>
      <c r="D44" s="25"/>
      <c r="E44" s="26"/>
      <c r="F44" s="14"/>
      <c r="G44" s="14"/>
      <c r="H44" s="14"/>
      <c r="I44" s="14"/>
      <c r="K44" s="14"/>
      <c r="L44" s="14"/>
      <c r="M44" s="14"/>
      <c r="N44" s="14"/>
      <c r="O44" s="14"/>
      <c r="P44" s="14"/>
      <c r="Q44" s="27"/>
      <c r="R44" s="15"/>
    </row>
    <row r="45" spans="1:18" x14ac:dyDescent="0.3">
      <c r="A45" s="13"/>
      <c r="B45" s="24"/>
      <c r="C45" s="24"/>
      <c r="D45" s="25"/>
      <c r="E45" s="26"/>
      <c r="F45" s="14"/>
      <c r="G45" s="14"/>
      <c r="H45" s="14"/>
      <c r="I45" s="14"/>
      <c r="K45" s="14"/>
      <c r="L45" s="14"/>
      <c r="M45" s="14"/>
      <c r="N45" s="14"/>
      <c r="O45" s="14"/>
      <c r="P45" s="14"/>
      <c r="Q45" s="27"/>
      <c r="R45" s="15"/>
    </row>
    <row r="46" spans="1:18" x14ac:dyDescent="0.3">
      <c r="A46" s="13"/>
      <c r="B46" s="24"/>
      <c r="C46" s="24"/>
      <c r="D46" s="25"/>
      <c r="E46" s="26"/>
      <c r="F46" s="14"/>
      <c r="G46" s="14"/>
      <c r="H46" s="14"/>
      <c r="I46" s="14"/>
      <c r="K46" s="14"/>
      <c r="L46" s="14"/>
      <c r="M46" s="14"/>
      <c r="N46" s="14"/>
      <c r="O46" s="14"/>
      <c r="P46" s="14"/>
      <c r="Q46" s="27"/>
      <c r="R46" s="15"/>
    </row>
    <row r="47" spans="1:18" x14ac:dyDescent="0.3">
      <c r="A47" s="13"/>
      <c r="B47" s="24"/>
      <c r="C47" s="24"/>
      <c r="D47" s="25"/>
      <c r="E47" s="26"/>
      <c r="F47" s="14"/>
      <c r="G47" s="14"/>
      <c r="H47" s="14"/>
      <c r="I47" s="14"/>
      <c r="K47" s="14"/>
      <c r="L47" s="14"/>
      <c r="M47" s="14"/>
      <c r="N47" s="14"/>
      <c r="O47" s="14"/>
      <c r="P47" s="14"/>
      <c r="Q47" s="27"/>
      <c r="R47" s="15"/>
    </row>
    <row r="48" spans="1:18" x14ac:dyDescent="0.3">
      <c r="A48" s="13"/>
      <c r="B48" s="24"/>
      <c r="C48" s="24"/>
      <c r="D48" s="25"/>
      <c r="E48" s="26"/>
      <c r="F48" s="14"/>
      <c r="G48" s="14"/>
      <c r="H48" s="14"/>
      <c r="I48" s="14"/>
      <c r="K48" s="14"/>
      <c r="L48" s="14"/>
      <c r="M48" s="14"/>
      <c r="N48" s="14"/>
      <c r="O48" s="14"/>
      <c r="P48" s="14"/>
      <c r="Q48" s="27"/>
      <c r="R48" s="15"/>
    </row>
    <row r="49" spans="1:18" x14ac:dyDescent="0.3">
      <c r="A49" s="13"/>
      <c r="B49" s="24"/>
      <c r="C49" s="24"/>
      <c r="D49" s="25"/>
      <c r="E49" s="26"/>
      <c r="F49" s="14"/>
      <c r="G49" s="14"/>
      <c r="H49" s="14"/>
      <c r="I49" s="14"/>
      <c r="K49" s="14"/>
      <c r="L49" s="14"/>
      <c r="M49" s="14"/>
      <c r="N49" s="14"/>
      <c r="O49" s="14"/>
      <c r="P49" s="14"/>
      <c r="Q49" s="27"/>
      <c r="R49" s="15"/>
    </row>
    <row r="50" spans="1:18" x14ac:dyDescent="0.3">
      <c r="A50" s="13"/>
      <c r="B50" s="24"/>
      <c r="C50" s="24"/>
      <c r="D50" s="25"/>
      <c r="E50" s="26"/>
      <c r="F50" s="14"/>
      <c r="G50" s="14"/>
      <c r="H50" s="14"/>
      <c r="I50" s="14"/>
      <c r="K50" s="14"/>
      <c r="L50" s="14"/>
      <c r="M50" s="14"/>
      <c r="N50" s="14"/>
      <c r="O50" s="14"/>
      <c r="P50" s="14"/>
      <c r="Q50" s="27"/>
      <c r="R50" s="15"/>
    </row>
    <row r="51" spans="1:18" x14ac:dyDescent="0.3">
      <c r="A51" s="13"/>
      <c r="B51" s="24"/>
      <c r="C51" s="24"/>
      <c r="D51" s="25"/>
      <c r="E51" s="26"/>
      <c r="F51" s="14"/>
      <c r="G51" s="14"/>
      <c r="H51" s="14"/>
      <c r="I51" s="14"/>
      <c r="K51" s="14"/>
      <c r="L51" s="14"/>
      <c r="M51" s="14"/>
      <c r="N51" s="14"/>
      <c r="O51" s="14"/>
      <c r="P51" s="14"/>
      <c r="Q51" s="27"/>
      <c r="R51" s="15"/>
    </row>
    <row r="52" spans="1:18" x14ac:dyDescent="0.3">
      <c r="A52" s="13"/>
      <c r="B52" s="24"/>
      <c r="C52" s="24"/>
      <c r="D52" s="25"/>
      <c r="E52" s="26"/>
      <c r="F52" s="14"/>
      <c r="G52" s="14"/>
      <c r="H52" s="14"/>
      <c r="I52" s="14"/>
      <c r="K52" s="14"/>
      <c r="L52" s="14"/>
      <c r="M52" s="14"/>
      <c r="N52" s="14"/>
      <c r="O52" s="14"/>
      <c r="P52" s="14"/>
      <c r="Q52" s="27"/>
      <c r="R52" s="15"/>
    </row>
    <row r="53" spans="1:18" x14ac:dyDescent="0.3">
      <c r="A53" s="13"/>
      <c r="B53" s="24"/>
      <c r="C53" s="24"/>
      <c r="D53" s="25"/>
      <c r="E53" s="26"/>
      <c r="F53" s="14"/>
      <c r="G53" s="14"/>
      <c r="H53" s="14"/>
      <c r="I53" s="14"/>
      <c r="K53" s="14"/>
      <c r="L53" s="14"/>
      <c r="M53" s="14"/>
      <c r="N53" s="14"/>
      <c r="O53" s="14"/>
      <c r="P53" s="14"/>
      <c r="Q53" s="27"/>
      <c r="R53" s="15"/>
    </row>
    <row r="54" spans="1:18" x14ac:dyDescent="0.3">
      <c r="A54" s="13"/>
      <c r="B54" s="24"/>
      <c r="C54" s="24"/>
      <c r="D54" s="25"/>
      <c r="E54" s="26"/>
      <c r="F54" s="14"/>
      <c r="G54" s="14"/>
      <c r="H54" s="14"/>
      <c r="I54" s="14"/>
      <c r="K54" s="14"/>
      <c r="L54" s="14"/>
      <c r="M54" s="14"/>
      <c r="N54" s="14"/>
      <c r="O54" s="14"/>
      <c r="P54" s="14"/>
      <c r="Q54" s="27"/>
      <c r="R54" s="15"/>
    </row>
    <row r="55" spans="1:18" x14ac:dyDescent="0.3">
      <c r="A55" s="13"/>
      <c r="B55" s="24"/>
      <c r="C55" s="24"/>
      <c r="D55" s="25"/>
      <c r="E55" s="26"/>
      <c r="F55" s="14"/>
      <c r="G55" s="14"/>
      <c r="H55" s="14"/>
      <c r="I55" s="14"/>
      <c r="K55" s="14"/>
      <c r="L55" s="14"/>
      <c r="M55" s="14"/>
      <c r="N55" s="14"/>
      <c r="O55" s="14"/>
      <c r="P55" s="14"/>
      <c r="Q55" s="27"/>
      <c r="R55" s="15"/>
    </row>
    <row r="56" spans="1:18" x14ac:dyDescent="0.3">
      <c r="A56" s="13"/>
      <c r="B56" s="24"/>
      <c r="C56" s="24"/>
      <c r="D56" s="25"/>
      <c r="E56" s="26"/>
      <c r="F56" s="14"/>
      <c r="G56" s="14"/>
      <c r="H56" s="14"/>
      <c r="I56" s="14"/>
      <c r="K56" s="14"/>
      <c r="L56" s="14"/>
      <c r="M56" s="14"/>
      <c r="N56" s="14"/>
      <c r="O56" s="14"/>
      <c r="P56" s="14"/>
      <c r="Q56" s="27"/>
      <c r="R56" s="15"/>
    </row>
    <row r="57" spans="1:18" x14ac:dyDescent="0.3">
      <c r="A57" s="13"/>
      <c r="B57" s="24"/>
      <c r="C57" s="24"/>
      <c r="D57" s="25"/>
      <c r="E57" s="26"/>
      <c r="F57" s="14"/>
      <c r="G57" s="14"/>
      <c r="H57" s="14"/>
      <c r="I57" s="14"/>
      <c r="K57" s="14"/>
      <c r="L57" s="14"/>
      <c r="M57" s="14"/>
      <c r="N57" s="14"/>
      <c r="O57" s="14"/>
      <c r="P57" s="14"/>
      <c r="Q57" s="27"/>
      <c r="R57" s="15"/>
    </row>
    <row r="58" spans="1:18" x14ac:dyDescent="0.3">
      <c r="A58" s="13"/>
      <c r="B58" s="24"/>
      <c r="C58" s="24"/>
      <c r="D58" s="25"/>
      <c r="E58" s="26"/>
      <c r="F58" s="14"/>
      <c r="G58" s="14"/>
      <c r="H58" s="14"/>
      <c r="I58" s="14"/>
      <c r="K58" s="14"/>
      <c r="L58" s="14"/>
      <c r="M58" s="14"/>
      <c r="N58" s="14"/>
      <c r="O58" s="14"/>
      <c r="P58" s="14"/>
      <c r="Q58" s="27"/>
      <c r="R58" s="15"/>
    </row>
    <row r="59" spans="1:18" x14ac:dyDescent="0.3">
      <c r="A59" s="13"/>
      <c r="B59" s="24"/>
      <c r="C59" s="24"/>
      <c r="D59" s="25"/>
      <c r="E59" s="26"/>
      <c r="F59" s="14"/>
      <c r="G59" s="14"/>
      <c r="H59" s="14"/>
      <c r="I59" s="14"/>
      <c r="K59" s="14"/>
      <c r="L59" s="14"/>
      <c r="M59" s="14"/>
      <c r="N59" s="14"/>
      <c r="O59" s="14"/>
      <c r="P59" s="14"/>
      <c r="Q59" s="27"/>
      <c r="R59" s="15"/>
    </row>
    <row r="60" spans="1:18" x14ac:dyDescent="0.3">
      <c r="A60" s="13"/>
      <c r="B60" s="24"/>
      <c r="C60" s="24"/>
      <c r="D60" s="25"/>
      <c r="E60" s="26"/>
      <c r="F60" s="14"/>
      <c r="G60" s="14"/>
      <c r="H60" s="14"/>
      <c r="I60" s="14"/>
      <c r="K60" s="14"/>
      <c r="L60" s="14"/>
      <c r="M60" s="14"/>
      <c r="N60" s="14"/>
      <c r="O60" s="14"/>
      <c r="P60" s="14"/>
      <c r="Q60" s="27"/>
      <c r="R60" s="15"/>
    </row>
    <row r="61" spans="1:18" x14ac:dyDescent="0.3">
      <c r="A61" s="13"/>
      <c r="B61" s="24"/>
      <c r="C61" s="24"/>
      <c r="D61" s="25"/>
      <c r="E61" s="26"/>
      <c r="F61" s="14"/>
      <c r="G61" s="14"/>
      <c r="H61" s="14"/>
      <c r="I61" s="14"/>
      <c r="K61" s="14"/>
      <c r="L61" s="14"/>
      <c r="M61" s="14"/>
      <c r="N61" s="14"/>
      <c r="O61" s="14"/>
      <c r="P61" s="14"/>
      <c r="Q61" s="27"/>
      <c r="R61" s="15"/>
    </row>
    <row r="62" spans="1:18" x14ac:dyDescent="0.3">
      <c r="A62" s="13"/>
      <c r="B62" s="24"/>
      <c r="C62" s="24"/>
      <c r="D62" s="25"/>
      <c r="E62" s="26"/>
      <c r="F62" s="14"/>
      <c r="G62" s="14"/>
      <c r="H62" s="14"/>
      <c r="I62" s="14"/>
      <c r="K62" s="14"/>
      <c r="L62" s="14"/>
      <c r="M62" s="14"/>
      <c r="N62" s="14"/>
      <c r="O62" s="14"/>
      <c r="P62" s="14"/>
      <c r="Q62" s="27"/>
      <c r="R62" s="15"/>
    </row>
    <row r="63" spans="1:18" x14ac:dyDescent="0.3">
      <c r="A63" s="13"/>
      <c r="B63" s="24"/>
      <c r="C63" s="24"/>
      <c r="D63" s="25"/>
      <c r="E63" s="26"/>
      <c r="F63" s="14"/>
      <c r="G63" s="14"/>
      <c r="H63" s="14"/>
      <c r="I63" s="14"/>
      <c r="K63" s="14"/>
      <c r="L63" s="14"/>
      <c r="M63" s="14"/>
      <c r="N63" s="14"/>
      <c r="O63" s="14"/>
      <c r="P63" s="14"/>
      <c r="Q63" s="27"/>
      <c r="R63" s="15"/>
    </row>
    <row r="64" spans="1:18" x14ac:dyDescent="0.3">
      <c r="A64" s="13"/>
      <c r="B64" s="24"/>
      <c r="C64" s="24"/>
      <c r="D64" s="25"/>
      <c r="E64" s="26"/>
      <c r="F64" s="14"/>
      <c r="G64" s="14"/>
      <c r="H64" s="14"/>
      <c r="I64" s="14"/>
      <c r="K64" s="14"/>
      <c r="L64" s="14"/>
      <c r="M64" s="14"/>
      <c r="N64" s="14"/>
      <c r="O64" s="14"/>
      <c r="P64" s="14"/>
      <c r="Q64" s="27"/>
      <c r="R64" s="15"/>
    </row>
    <row r="65" spans="1:18" x14ac:dyDescent="0.3">
      <c r="A65" s="13"/>
      <c r="B65" s="24"/>
      <c r="C65" s="24"/>
      <c r="D65" s="25"/>
      <c r="E65" s="26"/>
      <c r="F65" s="14"/>
      <c r="G65" s="14"/>
      <c r="H65" s="14"/>
      <c r="I65" s="14"/>
      <c r="K65" s="14"/>
      <c r="L65" s="14"/>
      <c r="M65" s="14"/>
      <c r="N65" s="14"/>
      <c r="O65" s="14"/>
      <c r="P65" s="14"/>
      <c r="Q65" s="27"/>
      <c r="R65" s="15"/>
    </row>
    <row r="66" spans="1:18" x14ac:dyDescent="0.3">
      <c r="A66" s="13"/>
      <c r="B66" s="24"/>
      <c r="C66" s="24"/>
      <c r="D66" s="25"/>
      <c r="E66" s="26"/>
      <c r="F66" s="14"/>
      <c r="G66" s="14"/>
      <c r="H66" s="14"/>
      <c r="I66" s="14"/>
      <c r="K66" s="14"/>
      <c r="L66" s="14"/>
      <c r="M66" s="14"/>
      <c r="N66" s="14"/>
      <c r="O66" s="14"/>
      <c r="P66" s="14"/>
      <c r="Q66" s="27"/>
      <c r="R66" s="15"/>
    </row>
    <row r="67" spans="1:18" x14ac:dyDescent="0.3">
      <c r="A67" s="13"/>
      <c r="B67" s="24"/>
      <c r="C67" s="24"/>
      <c r="D67" s="25"/>
      <c r="E67" s="26"/>
      <c r="F67" s="14"/>
      <c r="G67" s="14"/>
      <c r="H67" s="14"/>
      <c r="I67" s="14"/>
      <c r="K67" s="14"/>
      <c r="L67" s="14"/>
      <c r="M67" s="14"/>
      <c r="N67" s="14"/>
      <c r="O67" s="14"/>
      <c r="P67" s="14"/>
      <c r="Q67" s="27"/>
      <c r="R67" s="15"/>
    </row>
    <row r="68" spans="1:18" x14ac:dyDescent="0.3">
      <c r="A68" s="13"/>
      <c r="B68" s="24"/>
      <c r="C68" s="24"/>
      <c r="D68" s="25"/>
      <c r="E68" s="26"/>
      <c r="F68" s="14"/>
      <c r="G68" s="14"/>
      <c r="H68" s="14"/>
      <c r="I68" s="14"/>
      <c r="K68" s="14"/>
      <c r="L68" s="14"/>
      <c r="M68" s="14"/>
      <c r="N68" s="14"/>
      <c r="O68" s="14"/>
      <c r="P68" s="14"/>
      <c r="Q68" s="27"/>
      <c r="R68" s="15"/>
    </row>
    <row r="69" spans="1:18" x14ac:dyDescent="0.3">
      <c r="A69" s="13"/>
      <c r="B69" s="24"/>
      <c r="C69" s="24"/>
      <c r="D69" s="25"/>
      <c r="E69" s="26"/>
      <c r="F69" s="14"/>
      <c r="G69" s="14"/>
      <c r="H69" s="14"/>
      <c r="I69" s="14"/>
      <c r="K69" s="14"/>
      <c r="L69" s="14"/>
      <c r="M69" s="14"/>
      <c r="N69" s="14"/>
      <c r="O69" s="14"/>
      <c r="P69" s="14"/>
      <c r="Q69" s="27"/>
      <c r="R69" s="15"/>
    </row>
    <row r="70" spans="1:18" x14ac:dyDescent="0.3">
      <c r="A70" s="13"/>
      <c r="B70" s="24"/>
      <c r="C70" s="24"/>
      <c r="D70" s="25"/>
      <c r="E70" s="26"/>
      <c r="F70" s="14"/>
      <c r="G70" s="14"/>
      <c r="H70" s="14"/>
      <c r="I70" s="14"/>
      <c r="K70" s="14"/>
      <c r="L70" s="14"/>
      <c r="M70" s="14"/>
      <c r="N70" s="14"/>
      <c r="O70" s="14"/>
      <c r="P70" s="14"/>
      <c r="Q70" s="27"/>
      <c r="R70" s="15"/>
    </row>
    <row r="71" spans="1:18" x14ac:dyDescent="0.3">
      <c r="A71" s="13"/>
      <c r="B71" s="24"/>
      <c r="C71" s="24"/>
      <c r="D71" s="25"/>
      <c r="E71" s="26"/>
      <c r="F71" s="14"/>
      <c r="G71" s="14"/>
      <c r="H71" s="14"/>
      <c r="I71" s="14"/>
      <c r="K71" s="14"/>
      <c r="L71" s="14"/>
      <c r="M71" s="14"/>
      <c r="N71" s="14"/>
      <c r="O71" s="14"/>
      <c r="P71" s="14"/>
      <c r="Q71" s="27"/>
      <c r="R71" s="15"/>
    </row>
    <row r="72" spans="1:18" x14ac:dyDescent="0.3">
      <c r="A72" s="13"/>
      <c r="B72" s="24"/>
      <c r="C72" s="24"/>
      <c r="D72" s="25"/>
      <c r="E72" s="26"/>
      <c r="F72" s="14"/>
      <c r="G72" s="14"/>
      <c r="H72" s="14"/>
      <c r="I72" s="14"/>
      <c r="K72" s="14"/>
      <c r="L72" s="14"/>
      <c r="M72" s="14"/>
      <c r="N72" s="14"/>
      <c r="O72" s="14"/>
      <c r="P72" s="14"/>
      <c r="Q72" s="27"/>
      <c r="R72" s="15"/>
    </row>
    <row r="73" spans="1:18" x14ac:dyDescent="0.3">
      <c r="A73" s="13"/>
      <c r="B73" s="24"/>
      <c r="C73" s="24"/>
      <c r="D73" s="25"/>
      <c r="E73" s="26"/>
      <c r="F73" s="14"/>
      <c r="G73" s="14"/>
      <c r="H73" s="14"/>
      <c r="I73" s="14"/>
      <c r="K73" s="14"/>
      <c r="L73" s="14"/>
      <c r="M73" s="14"/>
      <c r="N73" s="14"/>
      <c r="O73" s="14"/>
      <c r="P73" s="14"/>
      <c r="Q73" s="27"/>
      <c r="R73" s="15"/>
    </row>
    <row r="74" spans="1:18" x14ac:dyDescent="0.3">
      <c r="A74" s="13"/>
      <c r="B74" s="24"/>
      <c r="C74" s="24"/>
      <c r="D74" s="25"/>
      <c r="E74" s="26"/>
      <c r="F74" s="14"/>
      <c r="G74" s="14"/>
      <c r="H74" s="14"/>
      <c r="I74" s="14"/>
      <c r="K74" s="14"/>
      <c r="L74" s="14"/>
      <c r="M74" s="14"/>
      <c r="N74" s="14"/>
      <c r="O74" s="14"/>
      <c r="P74" s="14"/>
      <c r="Q74" s="27"/>
      <c r="R74" s="15"/>
    </row>
    <row r="75" spans="1:18" x14ac:dyDescent="0.3">
      <c r="A75" s="13"/>
      <c r="B75" s="24"/>
      <c r="C75" s="24"/>
      <c r="D75" s="25"/>
      <c r="E75" s="26"/>
      <c r="F75" s="14"/>
      <c r="G75" s="14"/>
      <c r="H75" s="14"/>
      <c r="I75" s="14"/>
      <c r="K75" s="14"/>
      <c r="L75" s="14"/>
      <c r="M75" s="14"/>
      <c r="N75" s="14"/>
      <c r="O75" s="14"/>
      <c r="P75" s="14"/>
      <c r="Q75" s="27"/>
      <c r="R75" s="15"/>
    </row>
    <row r="76" spans="1:18" x14ac:dyDescent="0.3">
      <c r="A76" s="13"/>
      <c r="B76" s="24"/>
      <c r="C76" s="24"/>
      <c r="D76" s="25"/>
      <c r="E76" s="26"/>
      <c r="F76" s="14"/>
      <c r="G76" s="14"/>
      <c r="H76" s="14"/>
      <c r="I76" s="14"/>
      <c r="K76" s="14"/>
      <c r="L76" s="14"/>
      <c r="M76" s="14"/>
      <c r="N76" s="14"/>
      <c r="O76" s="14"/>
      <c r="P76" s="14"/>
      <c r="Q76" s="27"/>
      <c r="R76" s="15"/>
    </row>
    <row r="77" spans="1:18" x14ac:dyDescent="0.3">
      <c r="A77" s="13"/>
      <c r="B77" s="24"/>
      <c r="C77" s="24"/>
      <c r="D77" s="25"/>
      <c r="E77" s="26"/>
      <c r="F77" s="14"/>
      <c r="G77" s="14"/>
      <c r="H77" s="14"/>
      <c r="I77" s="14"/>
      <c r="K77" s="14"/>
      <c r="L77" s="14"/>
      <c r="M77" s="14"/>
      <c r="N77" s="14"/>
      <c r="O77" s="14"/>
      <c r="P77" s="14"/>
      <c r="Q77" s="27"/>
      <c r="R77" s="15"/>
    </row>
    <row r="78" spans="1:18" x14ac:dyDescent="0.3">
      <c r="A78" s="13"/>
      <c r="B78" s="24"/>
      <c r="C78" s="24"/>
      <c r="D78" s="25"/>
      <c r="E78" s="26"/>
      <c r="F78" s="14"/>
      <c r="G78" s="14"/>
      <c r="H78" s="14"/>
      <c r="I78" s="14"/>
      <c r="K78" s="14"/>
      <c r="L78" s="14"/>
      <c r="M78" s="14"/>
      <c r="N78" s="14"/>
      <c r="O78" s="14"/>
      <c r="P78" s="14"/>
      <c r="Q78" s="27"/>
      <c r="R78" s="15"/>
    </row>
    <row r="79" spans="1:18" x14ac:dyDescent="0.3">
      <c r="A79" s="13"/>
      <c r="B79" s="24"/>
      <c r="C79" s="24"/>
      <c r="D79" s="25"/>
      <c r="E79" s="26"/>
      <c r="F79" s="14"/>
      <c r="G79" s="14"/>
      <c r="H79" s="14"/>
      <c r="I79" s="14"/>
      <c r="K79" s="14"/>
      <c r="L79" s="14"/>
      <c r="M79" s="14"/>
      <c r="N79" s="14"/>
      <c r="O79" s="14"/>
      <c r="P79" s="14"/>
      <c r="Q79" s="27"/>
      <c r="R79" s="15"/>
    </row>
    <row r="80" spans="1:18" x14ac:dyDescent="0.3">
      <c r="A80" s="13"/>
      <c r="B80" s="24"/>
      <c r="C80" s="24"/>
      <c r="D80" s="25"/>
      <c r="E80" s="26"/>
      <c r="F80" s="14"/>
      <c r="G80" s="14"/>
      <c r="H80" s="14"/>
      <c r="I80" s="14"/>
      <c r="K80" s="14"/>
      <c r="L80" s="14"/>
      <c r="M80" s="14"/>
      <c r="N80" s="14"/>
      <c r="O80" s="14"/>
      <c r="P80" s="14"/>
      <c r="Q80" s="27"/>
      <c r="R80" s="15"/>
    </row>
    <row r="81" spans="1:18" x14ac:dyDescent="0.3">
      <c r="A81" s="13"/>
      <c r="B81" s="24"/>
      <c r="C81" s="24"/>
      <c r="D81" s="25"/>
      <c r="E81" s="26"/>
      <c r="F81" s="14"/>
      <c r="G81" s="14"/>
      <c r="H81" s="14"/>
      <c r="I81" s="14"/>
      <c r="K81" s="14"/>
      <c r="L81" s="14"/>
      <c r="M81" s="14"/>
      <c r="N81" s="14"/>
      <c r="O81" s="14"/>
      <c r="P81" s="14"/>
      <c r="Q81" s="27"/>
      <c r="R81" s="15"/>
    </row>
    <row r="82" spans="1:18" x14ac:dyDescent="0.3">
      <c r="A82" s="13"/>
      <c r="B82" s="24"/>
      <c r="C82" s="24"/>
      <c r="D82" s="25"/>
      <c r="E82" s="26"/>
      <c r="F82" s="14"/>
      <c r="G82" s="14"/>
      <c r="H82" s="14"/>
      <c r="I82" s="14"/>
      <c r="K82" s="14"/>
      <c r="L82" s="14"/>
      <c r="M82" s="14"/>
      <c r="N82" s="14"/>
      <c r="O82" s="14"/>
      <c r="P82" s="14"/>
      <c r="Q82" s="27"/>
      <c r="R82" s="15"/>
    </row>
    <row r="83" spans="1:18" x14ac:dyDescent="0.3">
      <c r="A83" s="13"/>
      <c r="B83" s="24"/>
      <c r="C83" s="24"/>
      <c r="D83" s="25"/>
      <c r="E83" s="26"/>
      <c r="F83" s="14"/>
      <c r="G83" s="14"/>
      <c r="H83" s="14"/>
      <c r="I83" s="14"/>
      <c r="K83" s="14"/>
      <c r="L83" s="14"/>
      <c r="M83" s="14"/>
      <c r="N83" s="14"/>
      <c r="O83" s="14"/>
      <c r="P83" s="14"/>
      <c r="Q83" s="27"/>
      <c r="R83" s="15"/>
    </row>
    <row r="84" spans="1:18" x14ac:dyDescent="0.3">
      <c r="A84" s="13"/>
      <c r="B84" s="24"/>
      <c r="C84" s="24"/>
      <c r="D84" s="25"/>
      <c r="E84" s="26"/>
      <c r="F84" s="14"/>
      <c r="G84" s="14"/>
      <c r="H84" s="14"/>
      <c r="I84" s="14"/>
      <c r="K84" s="14"/>
      <c r="L84" s="14"/>
      <c r="M84" s="14"/>
      <c r="N84" s="14"/>
      <c r="O84" s="14"/>
      <c r="P84" s="14"/>
      <c r="Q84" s="27"/>
      <c r="R84" s="15"/>
    </row>
    <row r="85" spans="1:18" x14ac:dyDescent="0.3">
      <c r="A85" s="13"/>
      <c r="B85" s="24"/>
      <c r="C85" s="24"/>
      <c r="D85" s="25"/>
      <c r="E85" s="26"/>
      <c r="F85" s="14"/>
      <c r="G85" s="14"/>
      <c r="H85" s="14"/>
      <c r="I85" s="14"/>
      <c r="K85" s="14"/>
      <c r="L85" s="14"/>
      <c r="M85" s="14"/>
      <c r="N85" s="14"/>
      <c r="O85" s="14"/>
      <c r="P85" s="14"/>
      <c r="Q85" s="27"/>
      <c r="R85" s="15"/>
    </row>
    <row r="86" spans="1:18" x14ac:dyDescent="0.3">
      <c r="A86" s="13"/>
      <c r="B86" s="24"/>
      <c r="C86" s="24"/>
      <c r="D86" s="25"/>
      <c r="E86" s="26"/>
      <c r="F86" s="14"/>
      <c r="G86" s="14"/>
      <c r="H86" s="14"/>
      <c r="I86" s="14"/>
      <c r="K86" s="14"/>
      <c r="L86" s="14"/>
      <c r="M86" s="14"/>
      <c r="N86" s="14"/>
      <c r="O86" s="14"/>
      <c r="P86" s="14"/>
      <c r="Q86" s="27"/>
      <c r="R86" s="15"/>
    </row>
    <row r="87" spans="1:18" x14ac:dyDescent="0.3">
      <c r="A87" s="13"/>
      <c r="B87" s="24"/>
      <c r="C87" s="24"/>
      <c r="D87" s="25"/>
      <c r="E87" s="26"/>
      <c r="F87" s="14"/>
      <c r="G87" s="14"/>
      <c r="H87" s="14"/>
      <c r="I87" s="14"/>
      <c r="K87" s="14"/>
      <c r="L87" s="14"/>
      <c r="M87" s="14"/>
      <c r="N87" s="14"/>
      <c r="O87" s="14"/>
      <c r="P87" s="14"/>
      <c r="Q87" s="27"/>
      <c r="R87" s="15"/>
    </row>
    <row r="88" spans="1:18" x14ac:dyDescent="0.3">
      <c r="A88" s="13"/>
      <c r="B88" s="24"/>
      <c r="C88" s="24"/>
      <c r="D88" s="25"/>
      <c r="E88" s="26"/>
      <c r="F88" s="14"/>
      <c r="G88" s="14"/>
      <c r="H88" s="14"/>
      <c r="I88" s="14"/>
      <c r="K88" s="14"/>
      <c r="L88" s="14"/>
      <c r="M88" s="14"/>
      <c r="N88" s="14"/>
      <c r="O88" s="14"/>
      <c r="P88" s="14"/>
      <c r="Q88" s="27"/>
      <c r="R88" s="15"/>
    </row>
    <row r="89" spans="1:18" x14ac:dyDescent="0.3">
      <c r="A89" s="13"/>
      <c r="B89" s="24"/>
      <c r="C89" s="24"/>
      <c r="D89" s="25"/>
      <c r="E89" s="26"/>
      <c r="F89" s="14"/>
      <c r="G89" s="14"/>
      <c r="H89" s="14"/>
      <c r="I89" s="14"/>
      <c r="K89" s="14"/>
      <c r="L89" s="14"/>
      <c r="M89" s="14"/>
      <c r="N89" s="14"/>
      <c r="O89" s="14"/>
      <c r="P89" s="14"/>
      <c r="Q89" s="27"/>
      <c r="R89" s="15"/>
    </row>
    <row r="90" spans="1:18" x14ac:dyDescent="0.3">
      <c r="A90" s="13"/>
      <c r="B90" s="24"/>
      <c r="C90" s="24"/>
      <c r="D90" s="25"/>
      <c r="E90" s="26"/>
      <c r="F90" s="14"/>
      <c r="G90" s="14"/>
      <c r="H90" s="14"/>
      <c r="I90" s="14"/>
      <c r="K90" s="14"/>
      <c r="L90" s="14"/>
      <c r="M90" s="14"/>
      <c r="N90" s="14"/>
      <c r="O90" s="14"/>
      <c r="P90" s="14"/>
      <c r="Q90" s="27"/>
      <c r="R90" s="15"/>
    </row>
    <row r="91" spans="1:18" x14ac:dyDescent="0.3">
      <c r="A91" s="13"/>
      <c r="B91" s="24"/>
      <c r="C91" s="24"/>
      <c r="D91" s="25"/>
      <c r="E91" s="26"/>
      <c r="F91" s="14"/>
      <c r="G91" s="14"/>
      <c r="H91" s="14"/>
      <c r="I91" s="14"/>
      <c r="K91" s="14"/>
      <c r="L91" s="14"/>
      <c r="M91" s="14"/>
      <c r="N91" s="14"/>
      <c r="O91" s="14"/>
      <c r="P91" s="14"/>
      <c r="Q91" s="27"/>
      <c r="R91" s="15"/>
    </row>
    <row r="92" spans="1:18" x14ac:dyDescent="0.3">
      <c r="A92" s="13"/>
      <c r="B92" s="24"/>
      <c r="C92" s="24"/>
      <c r="D92" s="25"/>
      <c r="E92" s="26"/>
      <c r="F92" s="14"/>
      <c r="G92" s="14"/>
      <c r="H92" s="14"/>
      <c r="I92" s="14"/>
      <c r="K92" s="14"/>
      <c r="L92" s="14"/>
      <c r="M92" s="14"/>
      <c r="N92" s="14"/>
      <c r="O92" s="14"/>
      <c r="P92" s="14"/>
      <c r="Q92" s="27"/>
      <c r="R92" s="15"/>
    </row>
    <row r="93" spans="1:18" x14ac:dyDescent="0.3">
      <c r="A93" s="13"/>
      <c r="B93" s="24"/>
      <c r="C93" s="24"/>
      <c r="D93" s="25"/>
      <c r="E93" s="26"/>
      <c r="F93" s="14"/>
      <c r="G93" s="14"/>
      <c r="H93" s="14"/>
      <c r="I93" s="14"/>
      <c r="K93" s="14"/>
      <c r="L93" s="14"/>
      <c r="M93" s="14"/>
      <c r="N93" s="14"/>
      <c r="O93" s="14"/>
      <c r="P93" s="14"/>
      <c r="Q93" s="27"/>
      <c r="R93" s="15"/>
    </row>
    <row r="94" spans="1:18" x14ac:dyDescent="0.3">
      <c r="A94" s="13"/>
      <c r="B94" s="24"/>
      <c r="C94" s="24"/>
      <c r="D94" s="25"/>
      <c r="E94" s="26"/>
      <c r="F94" s="14"/>
      <c r="G94" s="14"/>
      <c r="H94" s="14"/>
      <c r="I94" s="14"/>
      <c r="K94" s="14"/>
      <c r="L94" s="14"/>
      <c r="M94" s="14"/>
      <c r="N94" s="14"/>
      <c r="O94" s="14"/>
      <c r="P94" s="14"/>
      <c r="Q94" s="27"/>
      <c r="R94" s="15"/>
    </row>
    <row r="95" spans="1:18" x14ac:dyDescent="0.3">
      <c r="A95" s="13"/>
      <c r="B95" s="24"/>
      <c r="C95" s="24"/>
      <c r="D95" s="25"/>
      <c r="E95" s="26"/>
      <c r="F95" s="14"/>
      <c r="G95" s="14"/>
      <c r="H95" s="14"/>
      <c r="I95" s="14"/>
      <c r="K95" s="14"/>
      <c r="L95" s="14"/>
      <c r="M95" s="14"/>
      <c r="N95" s="14"/>
      <c r="O95" s="14"/>
      <c r="P95" s="14"/>
      <c r="Q95" s="27"/>
      <c r="R95" s="15"/>
    </row>
    <row r="96" spans="1:18" x14ac:dyDescent="0.3">
      <c r="A96" s="13"/>
      <c r="B96" s="24"/>
      <c r="C96" s="24"/>
      <c r="D96" s="25"/>
      <c r="E96" s="26"/>
      <c r="F96" s="14"/>
      <c r="G96" s="14"/>
      <c r="H96" s="14"/>
      <c r="I96" s="14"/>
      <c r="K96" s="14"/>
      <c r="L96" s="14"/>
      <c r="M96" s="14"/>
      <c r="N96" s="14"/>
      <c r="O96" s="14"/>
      <c r="P96" s="14"/>
      <c r="Q96" s="27"/>
      <c r="R96" s="15"/>
    </row>
    <row r="97" spans="1:18" x14ac:dyDescent="0.3">
      <c r="A97" s="13"/>
      <c r="B97" s="24"/>
      <c r="C97" s="24"/>
      <c r="D97" s="25"/>
      <c r="E97" s="26"/>
      <c r="F97" s="14"/>
      <c r="G97" s="14"/>
      <c r="H97" s="14"/>
      <c r="I97" s="14"/>
      <c r="K97" s="14"/>
      <c r="L97" s="14"/>
      <c r="M97" s="14"/>
      <c r="N97" s="14"/>
      <c r="O97" s="14"/>
      <c r="P97" s="14"/>
      <c r="Q97" s="27"/>
      <c r="R97" s="15"/>
    </row>
    <row r="98" spans="1:18" x14ac:dyDescent="0.3">
      <c r="A98" s="13"/>
      <c r="B98" s="24"/>
      <c r="C98" s="24"/>
      <c r="D98" s="25"/>
      <c r="E98" s="26"/>
      <c r="F98" s="14"/>
      <c r="G98" s="14"/>
      <c r="H98" s="14"/>
      <c r="I98" s="14"/>
      <c r="K98" s="14"/>
      <c r="L98" s="14"/>
      <c r="M98" s="14"/>
      <c r="N98" s="14"/>
      <c r="O98" s="14"/>
      <c r="P98" s="14"/>
      <c r="Q98" s="27"/>
      <c r="R98" s="15"/>
    </row>
    <row r="99" spans="1:18" x14ac:dyDescent="0.3">
      <c r="A99" s="13"/>
      <c r="B99" s="24"/>
      <c r="C99" s="24"/>
      <c r="D99" s="25"/>
      <c r="E99" s="26"/>
      <c r="F99" s="14"/>
      <c r="G99" s="14"/>
      <c r="H99" s="14"/>
      <c r="I99" s="14"/>
      <c r="K99" s="14"/>
      <c r="L99" s="14"/>
      <c r="M99" s="14"/>
      <c r="N99" s="14"/>
      <c r="O99" s="14"/>
      <c r="P99" s="14"/>
      <c r="Q99" s="27"/>
      <c r="R99" s="15"/>
    </row>
    <row r="100" spans="1:18" x14ac:dyDescent="0.3">
      <c r="A100" s="13"/>
      <c r="B100" s="24"/>
      <c r="C100" s="24"/>
      <c r="D100" s="25"/>
      <c r="E100" s="26"/>
      <c r="F100" s="14"/>
      <c r="G100" s="14"/>
      <c r="H100" s="14"/>
      <c r="I100" s="14"/>
      <c r="K100" s="14"/>
      <c r="L100" s="14"/>
      <c r="M100" s="14"/>
      <c r="N100" s="14"/>
      <c r="O100" s="14"/>
      <c r="P100" s="14"/>
      <c r="Q100" s="27"/>
      <c r="R100" s="15"/>
    </row>
    <row r="101" spans="1:18" x14ac:dyDescent="0.3">
      <c r="A101" s="13"/>
      <c r="B101" s="24"/>
      <c r="C101" s="24"/>
      <c r="D101" s="25"/>
      <c r="E101" s="26"/>
      <c r="F101" s="14"/>
      <c r="G101" s="14"/>
      <c r="H101" s="14"/>
      <c r="I101" s="14"/>
      <c r="K101" s="14"/>
      <c r="L101" s="14"/>
      <c r="M101" s="14"/>
      <c r="N101" s="14"/>
      <c r="O101" s="14"/>
      <c r="P101" s="14"/>
      <c r="Q101" s="27"/>
      <c r="R101" s="15"/>
    </row>
    <row r="102" spans="1:18" x14ac:dyDescent="0.3">
      <c r="A102" s="13"/>
      <c r="B102" s="24"/>
      <c r="C102" s="24"/>
      <c r="D102" s="25"/>
      <c r="E102" s="26"/>
      <c r="F102" s="14"/>
      <c r="G102" s="14"/>
      <c r="H102" s="14"/>
      <c r="I102" s="14"/>
      <c r="K102" s="14"/>
      <c r="L102" s="14"/>
      <c r="M102" s="14"/>
      <c r="N102" s="14"/>
      <c r="O102" s="14"/>
      <c r="P102" s="14"/>
      <c r="Q102" s="27"/>
      <c r="R102" s="15"/>
    </row>
    <row r="103" spans="1:18" x14ac:dyDescent="0.3">
      <c r="A103" s="13"/>
      <c r="B103" s="24"/>
      <c r="C103" s="24"/>
      <c r="D103" s="25"/>
      <c r="E103" s="26"/>
      <c r="F103" s="14"/>
      <c r="G103" s="14"/>
      <c r="H103" s="14"/>
      <c r="I103" s="14"/>
      <c r="K103" s="14"/>
      <c r="L103" s="14"/>
      <c r="M103" s="14"/>
      <c r="N103" s="14"/>
      <c r="O103" s="14"/>
      <c r="P103" s="14"/>
      <c r="Q103" s="27"/>
      <c r="R103" s="15"/>
    </row>
    <row r="104" spans="1:18" x14ac:dyDescent="0.3">
      <c r="A104" s="13"/>
      <c r="B104" s="24"/>
      <c r="C104" s="24"/>
      <c r="D104" s="25"/>
      <c r="E104" s="26"/>
      <c r="F104" s="14"/>
      <c r="G104" s="14"/>
      <c r="H104" s="14"/>
      <c r="I104" s="14"/>
      <c r="K104" s="14"/>
      <c r="L104" s="14"/>
      <c r="M104" s="14"/>
      <c r="N104" s="14"/>
      <c r="O104" s="14"/>
      <c r="P104" s="14"/>
      <c r="Q104" s="27"/>
      <c r="R104" s="15"/>
    </row>
    <row r="105" spans="1:18" x14ac:dyDescent="0.3">
      <c r="A105" s="13"/>
      <c r="B105" s="24"/>
      <c r="C105" s="24"/>
      <c r="D105" s="25"/>
      <c r="E105" s="26"/>
      <c r="F105" s="14"/>
      <c r="G105" s="14"/>
      <c r="H105" s="14"/>
      <c r="I105" s="14"/>
      <c r="K105" s="14"/>
      <c r="L105" s="14"/>
      <c r="M105" s="14"/>
      <c r="N105" s="14"/>
      <c r="O105" s="14"/>
      <c r="P105" s="14"/>
      <c r="Q105" s="27"/>
      <c r="R105" s="15"/>
    </row>
    <row r="106" spans="1:18" x14ac:dyDescent="0.3">
      <c r="A106" s="13"/>
      <c r="B106" s="24"/>
      <c r="C106" s="24"/>
      <c r="D106" s="25"/>
      <c r="E106" s="26"/>
      <c r="F106" s="14"/>
      <c r="G106" s="14"/>
      <c r="H106" s="14"/>
      <c r="I106" s="14"/>
      <c r="K106" s="14"/>
      <c r="L106" s="14"/>
      <c r="M106" s="14"/>
      <c r="N106" s="14"/>
      <c r="O106" s="14"/>
      <c r="P106" s="14"/>
      <c r="Q106" s="27"/>
      <c r="R106" s="15"/>
    </row>
    <row r="107" spans="1:18" x14ac:dyDescent="0.3">
      <c r="A107" s="13"/>
      <c r="B107" s="24"/>
      <c r="C107" s="24"/>
      <c r="D107" s="25"/>
      <c r="E107" s="26"/>
      <c r="F107" s="14"/>
      <c r="G107" s="14"/>
      <c r="H107" s="14"/>
      <c r="I107" s="14"/>
      <c r="K107" s="14"/>
      <c r="L107" s="14"/>
      <c r="M107" s="14"/>
      <c r="N107" s="14"/>
      <c r="O107" s="14"/>
      <c r="P107" s="14"/>
      <c r="Q107" s="27"/>
      <c r="R107" s="15"/>
    </row>
    <row r="108" spans="1:18" x14ac:dyDescent="0.3">
      <c r="A108" s="13"/>
      <c r="B108" s="24"/>
      <c r="C108" s="24"/>
      <c r="D108" s="25"/>
      <c r="E108" s="26"/>
      <c r="F108" s="14"/>
      <c r="G108" s="14"/>
      <c r="H108" s="14"/>
      <c r="I108" s="14"/>
      <c r="K108" s="14"/>
      <c r="L108" s="14"/>
      <c r="M108" s="14"/>
      <c r="N108" s="14"/>
      <c r="O108" s="14"/>
      <c r="P108" s="14"/>
      <c r="Q108" s="27"/>
      <c r="R108" s="15"/>
    </row>
    <row r="109" spans="1:18" x14ac:dyDescent="0.3">
      <c r="A109" s="13"/>
      <c r="B109" s="24"/>
      <c r="C109" s="24"/>
      <c r="D109" s="25"/>
      <c r="E109" s="26"/>
      <c r="F109" s="14"/>
      <c r="G109" s="14"/>
      <c r="H109" s="14"/>
      <c r="I109" s="14"/>
      <c r="K109" s="14"/>
      <c r="L109" s="14"/>
      <c r="M109" s="14"/>
      <c r="N109" s="14"/>
      <c r="O109" s="14"/>
      <c r="P109" s="14"/>
      <c r="Q109" s="27"/>
      <c r="R109" s="15"/>
    </row>
    <row r="110" spans="1:18" x14ac:dyDescent="0.3">
      <c r="A110" s="13"/>
      <c r="B110" s="24"/>
      <c r="C110" s="24"/>
      <c r="D110" s="25"/>
      <c r="E110" s="26"/>
      <c r="F110" s="14"/>
      <c r="G110" s="14"/>
      <c r="H110" s="14"/>
      <c r="I110" s="14"/>
      <c r="K110" s="14"/>
      <c r="L110" s="14"/>
      <c r="M110" s="14"/>
      <c r="N110" s="14"/>
      <c r="O110" s="14"/>
      <c r="P110" s="14"/>
      <c r="Q110" s="27"/>
      <c r="R110" s="15"/>
    </row>
    <row r="111" spans="1:18" x14ac:dyDescent="0.3">
      <c r="A111" s="13"/>
      <c r="B111" s="24"/>
      <c r="C111" s="24"/>
      <c r="D111" s="25"/>
      <c r="E111" s="26"/>
      <c r="F111" s="14"/>
      <c r="G111" s="14"/>
      <c r="H111" s="14"/>
      <c r="I111" s="14"/>
      <c r="K111" s="14"/>
      <c r="L111" s="14"/>
      <c r="M111" s="14"/>
      <c r="N111" s="14"/>
      <c r="O111" s="14"/>
      <c r="P111" s="14"/>
      <c r="Q111" s="27"/>
      <c r="R111" s="15"/>
    </row>
    <row r="112" spans="1:18" x14ac:dyDescent="0.3">
      <c r="A112" s="13"/>
      <c r="B112" s="24"/>
      <c r="C112" s="24"/>
      <c r="D112" s="25"/>
      <c r="E112" s="26"/>
      <c r="F112" s="14"/>
      <c r="G112" s="14"/>
      <c r="H112" s="14"/>
      <c r="I112" s="14"/>
      <c r="K112" s="14"/>
      <c r="L112" s="14"/>
      <c r="M112" s="14"/>
      <c r="N112" s="14"/>
      <c r="O112" s="14"/>
      <c r="P112" s="14"/>
      <c r="Q112" s="27"/>
      <c r="R112" s="15"/>
    </row>
    <row r="113" spans="1:18" x14ac:dyDescent="0.3">
      <c r="A113" s="13"/>
      <c r="B113" s="24"/>
      <c r="C113" s="24"/>
      <c r="D113" s="25"/>
      <c r="E113" s="26"/>
      <c r="F113" s="14"/>
      <c r="G113" s="14"/>
      <c r="H113" s="14"/>
      <c r="I113" s="14"/>
      <c r="K113" s="14"/>
      <c r="L113" s="14"/>
      <c r="M113" s="14"/>
      <c r="N113" s="14"/>
      <c r="O113" s="14"/>
      <c r="P113" s="14"/>
      <c r="Q113" s="27"/>
      <c r="R113" s="15"/>
    </row>
    <row r="114" spans="1:18" x14ac:dyDescent="0.3">
      <c r="A114" s="13"/>
      <c r="B114" s="24"/>
      <c r="C114" s="24"/>
      <c r="D114" s="25"/>
      <c r="E114" s="26"/>
      <c r="F114" s="14"/>
      <c r="G114" s="14"/>
      <c r="H114" s="14"/>
      <c r="I114" s="14"/>
      <c r="K114" s="14"/>
      <c r="L114" s="14"/>
      <c r="M114" s="14"/>
      <c r="N114" s="14"/>
      <c r="O114" s="14"/>
      <c r="P114" s="14"/>
      <c r="Q114" s="27"/>
      <c r="R114" s="15"/>
    </row>
    <row r="115" spans="1:18" x14ac:dyDescent="0.3">
      <c r="A115" s="13"/>
      <c r="B115" s="24"/>
      <c r="C115" s="24"/>
      <c r="D115" s="25"/>
      <c r="E115" s="26"/>
      <c r="F115" s="14"/>
      <c r="G115" s="14"/>
      <c r="H115" s="14"/>
      <c r="I115" s="14"/>
      <c r="K115" s="14"/>
      <c r="L115" s="14"/>
      <c r="M115" s="14"/>
      <c r="N115" s="14"/>
      <c r="O115" s="14"/>
      <c r="P115" s="14"/>
      <c r="Q115" s="27"/>
      <c r="R115" s="15"/>
    </row>
    <row r="116" spans="1:18" x14ac:dyDescent="0.3">
      <c r="A116" s="13"/>
      <c r="B116" s="24"/>
      <c r="C116" s="24"/>
      <c r="D116" s="25"/>
      <c r="E116" s="26"/>
      <c r="F116" s="14"/>
      <c r="G116" s="14"/>
      <c r="H116" s="14"/>
      <c r="I116" s="14"/>
      <c r="K116" s="14"/>
      <c r="L116" s="14"/>
      <c r="M116" s="14"/>
      <c r="N116" s="14"/>
      <c r="O116" s="14"/>
      <c r="P116" s="14"/>
      <c r="Q116" s="27"/>
      <c r="R116" s="15"/>
    </row>
    <row r="117" spans="1:18" x14ac:dyDescent="0.3">
      <c r="A117" s="13"/>
      <c r="B117" s="24"/>
      <c r="C117" s="24"/>
      <c r="D117" s="25"/>
      <c r="E117" s="26"/>
      <c r="F117" s="14"/>
      <c r="G117" s="14"/>
      <c r="H117" s="14"/>
      <c r="I117" s="14"/>
      <c r="K117" s="14"/>
      <c r="L117" s="14"/>
      <c r="M117" s="14"/>
      <c r="N117" s="14"/>
      <c r="O117" s="14"/>
      <c r="P117" s="14"/>
      <c r="Q117" s="27"/>
      <c r="R117" s="15"/>
    </row>
    <row r="118" spans="1:18" x14ac:dyDescent="0.3">
      <c r="A118" s="13"/>
      <c r="B118" s="24"/>
      <c r="C118" s="24"/>
      <c r="D118" s="25"/>
      <c r="E118" s="26"/>
      <c r="F118" s="14"/>
      <c r="G118" s="14"/>
      <c r="H118" s="14"/>
      <c r="I118" s="14"/>
      <c r="K118" s="14"/>
      <c r="L118" s="14"/>
      <c r="M118" s="14"/>
      <c r="N118" s="14"/>
      <c r="O118" s="14"/>
      <c r="P118" s="14"/>
      <c r="Q118" s="27"/>
      <c r="R118" s="15"/>
    </row>
    <row r="119" spans="1:18" x14ac:dyDescent="0.3">
      <c r="A119" s="13"/>
      <c r="B119" s="24"/>
      <c r="C119" s="24"/>
      <c r="D119" s="25"/>
      <c r="E119" s="26"/>
      <c r="F119" s="14"/>
      <c r="G119" s="14"/>
      <c r="H119" s="14"/>
      <c r="I119" s="14"/>
      <c r="K119" s="14"/>
      <c r="L119" s="14"/>
      <c r="M119" s="14"/>
      <c r="N119" s="14"/>
      <c r="O119" s="14"/>
      <c r="P119" s="14"/>
      <c r="Q119" s="27"/>
      <c r="R119" s="15"/>
    </row>
    <row r="120" spans="1:18" x14ac:dyDescent="0.3">
      <c r="A120" s="13"/>
      <c r="B120" s="24"/>
      <c r="C120" s="24"/>
      <c r="D120" s="25"/>
      <c r="E120" s="26"/>
      <c r="F120" s="14"/>
      <c r="G120" s="14"/>
      <c r="H120" s="14"/>
      <c r="I120" s="14"/>
      <c r="K120" s="14"/>
      <c r="L120" s="14"/>
      <c r="M120" s="14"/>
      <c r="N120" s="14"/>
      <c r="O120" s="14"/>
      <c r="P120" s="14"/>
      <c r="Q120" s="27"/>
      <c r="R120" s="15"/>
    </row>
    <row r="121" spans="1:18" x14ac:dyDescent="0.3">
      <c r="A121" s="13"/>
      <c r="B121" s="24"/>
      <c r="C121" s="24"/>
      <c r="D121" s="25"/>
      <c r="E121" s="26"/>
      <c r="F121" s="14"/>
      <c r="G121" s="14"/>
      <c r="H121" s="14"/>
      <c r="I121" s="14"/>
      <c r="K121" s="14"/>
      <c r="L121" s="14"/>
      <c r="M121" s="14"/>
      <c r="N121" s="14"/>
      <c r="O121" s="14"/>
      <c r="P121" s="14"/>
      <c r="Q121" s="27"/>
      <c r="R121" s="15"/>
    </row>
    <row r="122" spans="1:18" x14ac:dyDescent="0.3">
      <c r="A122" s="13"/>
      <c r="B122" s="24"/>
      <c r="C122" s="24"/>
      <c r="D122" s="25"/>
      <c r="E122" s="26"/>
      <c r="F122" s="14"/>
      <c r="G122" s="14"/>
      <c r="H122" s="14"/>
      <c r="I122" s="14"/>
      <c r="K122" s="14"/>
      <c r="L122" s="14"/>
      <c r="M122" s="14"/>
      <c r="N122" s="14"/>
      <c r="O122" s="14"/>
      <c r="P122" s="14"/>
      <c r="Q122" s="27"/>
      <c r="R122" s="15"/>
    </row>
    <row r="123" spans="1:18" x14ac:dyDescent="0.3">
      <c r="A123" s="13"/>
      <c r="B123" s="24"/>
      <c r="C123" s="24"/>
      <c r="D123" s="25"/>
      <c r="E123" s="26"/>
      <c r="F123" s="14"/>
      <c r="G123" s="14"/>
      <c r="H123" s="14"/>
      <c r="I123" s="14"/>
      <c r="K123" s="14"/>
      <c r="L123" s="14"/>
      <c r="M123" s="14"/>
      <c r="N123" s="14"/>
      <c r="O123" s="14"/>
      <c r="P123" s="14"/>
      <c r="Q123" s="27"/>
      <c r="R123" s="15"/>
    </row>
    <row r="124" spans="1:18" x14ac:dyDescent="0.3">
      <c r="A124" s="13"/>
      <c r="B124" s="24"/>
      <c r="C124" s="24"/>
      <c r="D124" s="25"/>
      <c r="E124" s="26"/>
      <c r="F124" s="14"/>
      <c r="G124" s="14"/>
      <c r="H124" s="14"/>
      <c r="I124" s="14"/>
      <c r="K124" s="14"/>
      <c r="L124" s="14"/>
      <c r="M124" s="14"/>
      <c r="N124" s="14"/>
      <c r="O124" s="14"/>
      <c r="P124" s="14"/>
      <c r="Q124" s="27"/>
      <c r="R124" s="15"/>
    </row>
    <row r="125" spans="1:18" x14ac:dyDescent="0.3">
      <c r="A125" s="13"/>
      <c r="B125" s="24"/>
      <c r="C125" s="24"/>
      <c r="D125" s="25"/>
      <c r="E125" s="26"/>
      <c r="F125" s="14"/>
      <c r="G125" s="14"/>
      <c r="H125" s="14"/>
      <c r="I125" s="14"/>
      <c r="K125" s="14"/>
      <c r="L125" s="14"/>
      <c r="M125" s="14"/>
      <c r="N125" s="14"/>
      <c r="O125" s="14"/>
      <c r="P125" s="14"/>
      <c r="Q125" s="27"/>
      <c r="R125" s="15"/>
    </row>
    <row r="126" spans="1:18" x14ac:dyDescent="0.3">
      <c r="A126" s="13"/>
      <c r="B126" s="24"/>
      <c r="C126" s="24"/>
      <c r="D126" s="25"/>
      <c r="E126" s="26"/>
      <c r="F126" s="14"/>
      <c r="G126" s="14"/>
      <c r="H126" s="14"/>
      <c r="I126" s="14"/>
      <c r="K126" s="14"/>
      <c r="L126" s="14"/>
      <c r="M126" s="14"/>
      <c r="N126" s="14"/>
      <c r="O126" s="14"/>
      <c r="P126" s="14"/>
      <c r="Q126" s="27"/>
      <c r="R126" s="15"/>
    </row>
    <row r="127" spans="1:18" x14ac:dyDescent="0.3">
      <c r="A127" s="13"/>
      <c r="B127" s="24"/>
      <c r="C127" s="24"/>
      <c r="D127" s="25"/>
      <c r="E127" s="26"/>
      <c r="F127" s="14"/>
      <c r="G127" s="14"/>
      <c r="H127" s="14"/>
      <c r="I127" s="14"/>
      <c r="K127" s="14"/>
      <c r="L127" s="14"/>
      <c r="M127" s="14"/>
      <c r="N127" s="14"/>
      <c r="O127" s="14"/>
      <c r="P127" s="14"/>
      <c r="Q127" s="27"/>
      <c r="R127" s="15"/>
    </row>
    <row r="128" spans="1:18" x14ac:dyDescent="0.3">
      <c r="A128" s="13"/>
      <c r="B128" s="24"/>
      <c r="C128" s="24"/>
      <c r="D128" s="25"/>
      <c r="E128" s="26"/>
      <c r="F128" s="14"/>
      <c r="G128" s="14"/>
      <c r="H128" s="14"/>
      <c r="I128" s="14"/>
      <c r="K128" s="14"/>
      <c r="L128" s="14"/>
      <c r="M128" s="14"/>
      <c r="N128" s="14"/>
      <c r="O128" s="14"/>
      <c r="P128" s="14"/>
      <c r="Q128" s="27"/>
      <c r="R128" s="15"/>
    </row>
    <row r="129" spans="1:18" x14ac:dyDescent="0.3">
      <c r="A129" s="13"/>
      <c r="B129" s="24"/>
      <c r="C129" s="24"/>
      <c r="D129" s="25"/>
      <c r="E129" s="26"/>
      <c r="F129" s="14"/>
      <c r="G129" s="14"/>
      <c r="H129" s="14"/>
      <c r="I129" s="14"/>
      <c r="K129" s="14"/>
      <c r="L129" s="14"/>
      <c r="M129" s="14"/>
      <c r="N129" s="14"/>
      <c r="O129" s="14"/>
      <c r="P129" s="14"/>
      <c r="Q129" s="27"/>
      <c r="R129" s="15"/>
    </row>
    <row r="130" spans="1:18" x14ac:dyDescent="0.3">
      <c r="A130" s="13"/>
      <c r="B130" s="24"/>
      <c r="C130" s="24"/>
      <c r="D130" s="25"/>
      <c r="E130" s="26"/>
      <c r="F130" s="14"/>
      <c r="G130" s="14"/>
      <c r="H130" s="14"/>
      <c r="I130" s="14"/>
      <c r="K130" s="14"/>
      <c r="L130" s="14"/>
      <c r="M130" s="14"/>
      <c r="N130" s="14"/>
      <c r="O130" s="14"/>
      <c r="P130" s="14"/>
      <c r="Q130" s="27"/>
      <c r="R130" s="15"/>
    </row>
    <row r="131" spans="1:18" x14ac:dyDescent="0.3">
      <c r="A131" s="13"/>
      <c r="B131" s="24"/>
      <c r="C131" s="24"/>
      <c r="D131" s="25"/>
      <c r="E131" s="26"/>
      <c r="F131" s="14"/>
      <c r="G131" s="14"/>
      <c r="H131" s="14"/>
      <c r="I131" s="14"/>
      <c r="K131" s="14"/>
      <c r="L131" s="14"/>
      <c r="M131" s="14"/>
      <c r="N131" s="14"/>
      <c r="O131" s="14"/>
      <c r="P131" s="14"/>
      <c r="Q131" s="27"/>
      <c r="R131" s="15"/>
    </row>
    <row r="132" spans="1:18" x14ac:dyDescent="0.3">
      <c r="A132" s="13"/>
      <c r="B132" s="24"/>
      <c r="C132" s="24"/>
      <c r="D132" s="25"/>
      <c r="E132" s="26"/>
      <c r="F132" s="14"/>
      <c r="G132" s="14"/>
      <c r="H132" s="14"/>
      <c r="I132" s="14"/>
      <c r="K132" s="14"/>
      <c r="L132" s="14"/>
      <c r="M132" s="14"/>
      <c r="N132" s="14"/>
      <c r="O132" s="14"/>
      <c r="P132" s="14"/>
      <c r="Q132" s="27"/>
      <c r="R132" s="15"/>
    </row>
    <row r="133" spans="1:18" x14ac:dyDescent="0.3">
      <c r="A133" s="13"/>
      <c r="B133" s="24"/>
      <c r="C133" s="24"/>
      <c r="D133" s="25"/>
      <c r="E133" s="26"/>
      <c r="F133" s="14"/>
      <c r="G133" s="14"/>
      <c r="H133" s="14"/>
      <c r="I133" s="14"/>
      <c r="K133" s="14"/>
      <c r="L133" s="14"/>
      <c r="M133" s="14"/>
      <c r="N133" s="14"/>
      <c r="O133" s="14"/>
      <c r="P133" s="14"/>
      <c r="Q133" s="27"/>
      <c r="R133" s="15"/>
    </row>
    <row r="134" spans="1:18" x14ac:dyDescent="0.3">
      <c r="A134" s="13"/>
      <c r="B134" s="24"/>
      <c r="C134" s="24"/>
      <c r="D134" s="25"/>
      <c r="E134" s="26"/>
      <c r="F134" s="14"/>
      <c r="G134" s="14"/>
      <c r="H134" s="14"/>
      <c r="I134" s="14"/>
      <c r="K134" s="14"/>
      <c r="L134" s="14"/>
      <c r="M134" s="14"/>
      <c r="N134" s="14"/>
      <c r="O134" s="14"/>
      <c r="P134" s="14"/>
      <c r="Q134" s="27"/>
      <c r="R134" s="15"/>
    </row>
    <row r="135" spans="1:18" x14ac:dyDescent="0.3">
      <c r="A135" s="13"/>
      <c r="B135" s="24"/>
      <c r="C135" s="24"/>
      <c r="D135" s="25"/>
      <c r="E135" s="26"/>
      <c r="F135" s="14"/>
      <c r="G135" s="14"/>
      <c r="H135" s="14"/>
      <c r="I135" s="14"/>
      <c r="K135" s="14"/>
      <c r="L135" s="14"/>
      <c r="M135" s="14"/>
      <c r="N135" s="14"/>
      <c r="O135" s="14"/>
      <c r="P135" s="14"/>
      <c r="Q135" s="27"/>
      <c r="R135" s="15"/>
    </row>
    <row r="136" spans="1:18" x14ac:dyDescent="0.3">
      <c r="A136" s="13"/>
      <c r="B136" s="24"/>
      <c r="C136" s="24"/>
      <c r="D136" s="25"/>
      <c r="E136" s="26"/>
      <c r="F136" s="14"/>
      <c r="G136" s="14"/>
      <c r="H136" s="14"/>
      <c r="I136" s="14"/>
      <c r="K136" s="14"/>
      <c r="L136" s="14"/>
      <c r="M136" s="14"/>
      <c r="N136" s="14"/>
      <c r="O136" s="14"/>
      <c r="P136" s="14"/>
      <c r="Q136" s="27"/>
      <c r="R136" s="15"/>
    </row>
    <row r="137" spans="1:18" x14ac:dyDescent="0.3">
      <c r="A137" s="13"/>
      <c r="B137" s="24"/>
      <c r="C137" s="24"/>
      <c r="D137" s="25"/>
      <c r="E137" s="26"/>
      <c r="F137" s="14"/>
      <c r="G137" s="14"/>
      <c r="H137" s="14"/>
      <c r="I137" s="14"/>
      <c r="K137" s="14"/>
      <c r="L137" s="14"/>
      <c r="M137" s="14"/>
      <c r="N137" s="14"/>
      <c r="O137" s="14"/>
      <c r="P137" s="14"/>
      <c r="Q137" s="27"/>
      <c r="R137" s="15"/>
    </row>
    <row r="138" spans="1:18" x14ac:dyDescent="0.3">
      <c r="A138" s="13"/>
      <c r="B138" s="24"/>
      <c r="C138" s="24"/>
      <c r="D138" s="25"/>
      <c r="E138" s="26"/>
      <c r="F138" s="14"/>
      <c r="G138" s="14"/>
      <c r="H138" s="14"/>
      <c r="I138" s="14"/>
      <c r="K138" s="14"/>
      <c r="L138" s="14"/>
      <c r="M138" s="14"/>
      <c r="N138" s="14"/>
      <c r="O138" s="14"/>
      <c r="P138" s="14"/>
      <c r="Q138" s="27"/>
      <c r="R138" s="15"/>
    </row>
    <row r="139" spans="1:18" x14ac:dyDescent="0.3">
      <c r="A139" s="13"/>
      <c r="B139" s="24"/>
      <c r="C139" s="24"/>
      <c r="D139" s="25"/>
      <c r="E139" s="26"/>
      <c r="F139" s="14"/>
      <c r="G139" s="14"/>
      <c r="H139" s="14"/>
      <c r="I139" s="14"/>
      <c r="K139" s="14"/>
      <c r="L139" s="14"/>
      <c r="M139" s="14"/>
      <c r="N139" s="14"/>
      <c r="O139" s="14"/>
      <c r="P139" s="14"/>
      <c r="Q139" s="27"/>
      <c r="R139" s="15"/>
    </row>
    <row r="140" spans="1:18" x14ac:dyDescent="0.3">
      <c r="A140" s="13"/>
      <c r="B140" s="24"/>
      <c r="C140" s="24"/>
      <c r="D140" s="25"/>
      <c r="E140" s="26"/>
      <c r="F140" s="14"/>
      <c r="G140" s="14"/>
      <c r="H140" s="14"/>
      <c r="I140" s="14"/>
      <c r="K140" s="14"/>
      <c r="L140" s="14"/>
      <c r="M140" s="14"/>
      <c r="N140" s="14"/>
      <c r="O140" s="14"/>
      <c r="P140" s="14"/>
      <c r="Q140" s="27"/>
      <c r="R140" s="15"/>
    </row>
    <row r="141" spans="1:18" x14ac:dyDescent="0.3">
      <c r="A141" s="13"/>
      <c r="B141" s="24"/>
      <c r="C141" s="24"/>
      <c r="D141" s="25"/>
      <c r="E141" s="26"/>
      <c r="F141" s="14"/>
      <c r="G141" s="14"/>
      <c r="H141" s="14"/>
      <c r="I141" s="14"/>
      <c r="K141" s="14"/>
      <c r="L141" s="14"/>
      <c r="M141" s="14"/>
      <c r="N141" s="14"/>
      <c r="O141" s="14"/>
      <c r="P141" s="14"/>
      <c r="Q141" s="27"/>
      <c r="R141" s="15"/>
    </row>
    <row r="142" spans="1:18" x14ac:dyDescent="0.3">
      <c r="A142" s="13"/>
      <c r="B142" s="24"/>
      <c r="C142" s="24"/>
      <c r="D142" s="25"/>
      <c r="E142" s="26"/>
      <c r="F142" s="14"/>
      <c r="G142" s="14"/>
      <c r="H142" s="14"/>
      <c r="I142" s="14"/>
      <c r="K142" s="14"/>
      <c r="L142" s="14"/>
      <c r="M142" s="14"/>
      <c r="N142" s="14"/>
      <c r="O142" s="14"/>
      <c r="P142" s="14"/>
      <c r="Q142" s="27"/>
      <c r="R142" s="15"/>
    </row>
    <row r="143" spans="1:18" x14ac:dyDescent="0.3">
      <c r="A143" s="13"/>
      <c r="B143" s="24"/>
      <c r="C143" s="24"/>
      <c r="D143" s="25"/>
      <c r="E143" s="26"/>
      <c r="F143" s="14"/>
      <c r="G143" s="14"/>
      <c r="H143" s="14"/>
      <c r="I143" s="14"/>
      <c r="K143" s="14"/>
      <c r="L143" s="14"/>
      <c r="M143" s="14"/>
      <c r="N143" s="14"/>
      <c r="O143" s="14"/>
      <c r="P143" s="14"/>
      <c r="Q143" s="27"/>
      <c r="R143" s="15"/>
    </row>
    <row r="144" spans="1:18" x14ac:dyDescent="0.3">
      <c r="A144" s="13"/>
      <c r="B144" s="24"/>
      <c r="C144" s="24"/>
      <c r="D144" s="25"/>
      <c r="E144" s="26"/>
      <c r="F144" s="14"/>
      <c r="G144" s="14"/>
      <c r="H144" s="14"/>
      <c r="I144" s="14"/>
      <c r="K144" s="14"/>
      <c r="L144" s="14"/>
      <c r="M144" s="14"/>
      <c r="N144" s="14"/>
      <c r="O144" s="14"/>
      <c r="P144" s="14"/>
      <c r="Q144" s="27"/>
      <c r="R144" s="15"/>
    </row>
    <row r="145" spans="1:18" x14ac:dyDescent="0.3">
      <c r="A145" s="13"/>
      <c r="B145" s="24"/>
      <c r="C145" s="24"/>
      <c r="D145" s="25"/>
      <c r="E145" s="26"/>
      <c r="F145" s="14"/>
      <c r="G145" s="14"/>
      <c r="H145" s="14"/>
      <c r="I145" s="14"/>
      <c r="K145" s="14"/>
      <c r="L145" s="14"/>
      <c r="M145" s="14"/>
      <c r="N145" s="14"/>
      <c r="O145" s="14"/>
      <c r="P145" s="14"/>
      <c r="Q145" s="27"/>
      <c r="R145" s="15"/>
    </row>
    <row r="146" spans="1:18" x14ac:dyDescent="0.3">
      <c r="A146" s="13"/>
      <c r="B146" s="24"/>
      <c r="C146" s="24"/>
      <c r="D146" s="25"/>
      <c r="E146" s="26"/>
      <c r="F146" s="14"/>
      <c r="G146" s="14"/>
      <c r="H146" s="14"/>
      <c r="I146" s="14"/>
      <c r="K146" s="14"/>
      <c r="L146" s="14"/>
      <c r="M146" s="14"/>
      <c r="N146" s="14"/>
      <c r="O146" s="14"/>
      <c r="P146" s="14"/>
      <c r="Q146" s="27"/>
      <c r="R146" s="15"/>
    </row>
    <row r="147" spans="1:18" x14ac:dyDescent="0.3">
      <c r="A147" s="13"/>
      <c r="B147" s="24"/>
      <c r="C147" s="24"/>
      <c r="D147" s="25"/>
      <c r="E147" s="26"/>
      <c r="F147" s="14"/>
      <c r="G147" s="14"/>
      <c r="H147" s="14"/>
      <c r="I147" s="14"/>
      <c r="K147" s="14"/>
      <c r="L147" s="14"/>
      <c r="M147" s="14"/>
      <c r="N147" s="14"/>
      <c r="O147" s="14"/>
      <c r="P147" s="14"/>
      <c r="Q147" s="27"/>
      <c r="R147" s="15"/>
    </row>
    <row r="148" spans="1:18" x14ac:dyDescent="0.3">
      <c r="A148" s="13"/>
      <c r="B148" s="24"/>
      <c r="C148" s="24"/>
      <c r="D148" s="25"/>
      <c r="E148" s="26"/>
      <c r="F148" s="14"/>
      <c r="G148" s="14"/>
      <c r="H148" s="14"/>
      <c r="I148" s="14"/>
      <c r="K148" s="14"/>
      <c r="L148" s="14"/>
      <c r="M148" s="14"/>
      <c r="N148" s="14"/>
      <c r="O148" s="14"/>
      <c r="P148" s="14"/>
      <c r="Q148" s="27"/>
      <c r="R148" s="15"/>
    </row>
    <row r="149" spans="1:18" x14ac:dyDescent="0.3">
      <c r="A149" s="13"/>
      <c r="B149" s="24"/>
      <c r="C149" s="24"/>
      <c r="D149" s="25"/>
      <c r="E149" s="26"/>
      <c r="F149" s="14"/>
      <c r="G149" s="14"/>
      <c r="H149" s="14"/>
      <c r="I149" s="14"/>
      <c r="K149" s="14"/>
      <c r="L149" s="14"/>
      <c r="M149" s="14"/>
      <c r="N149" s="14"/>
      <c r="O149" s="14"/>
      <c r="P149" s="14"/>
      <c r="Q149" s="27"/>
      <c r="R149" s="15"/>
    </row>
    <row r="150" spans="1:18" x14ac:dyDescent="0.3">
      <c r="A150" s="13"/>
      <c r="B150" s="24"/>
      <c r="C150" s="24"/>
      <c r="D150" s="25"/>
      <c r="E150" s="26"/>
      <c r="F150" s="14"/>
      <c r="G150" s="14"/>
      <c r="H150" s="14"/>
      <c r="I150" s="14"/>
      <c r="K150" s="14"/>
      <c r="L150" s="14"/>
      <c r="M150" s="14"/>
      <c r="N150" s="14"/>
      <c r="O150" s="14"/>
      <c r="P150" s="14"/>
      <c r="Q150" s="27"/>
      <c r="R150" s="15"/>
    </row>
    <row r="151" spans="1:18" x14ac:dyDescent="0.3">
      <c r="A151" s="13"/>
      <c r="B151" s="24"/>
      <c r="C151" s="24"/>
      <c r="D151" s="25"/>
      <c r="E151" s="26"/>
      <c r="F151" s="14"/>
      <c r="G151" s="14"/>
      <c r="H151" s="14"/>
      <c r="I151" s="14"/>
      <c r="K151" s="14"/>
      <c r="L151" s="14"/>
      <c r="M151" s="14"/>
      <c r="N151" s="14"/>
      <c r="O151" s="14"/>
      <c r="P151" s="14"/>
      <c r="Q151" s="27"/>
      <c r="R151" s="15"/>
    </row>
    <row r="152" spans="1:18" x14ac:dyDescent="0.3">
      <c r="A152" s="13"/>
      <c r="B152" s="24"/>
      <c r="C152" s="24"/>
      <c r="D152" s="25"/>
      <c r="E152" s="26"/>
      <c r="F152" s="14"/>
      <c r="G152" s="14"/>
      <c r="H152" s="14"/>
      <c r="I152" s="14"/>
      <c r="K152" s="14"/>
      <c r="L152" s="14"/>
      <c r="M152" s="14"/>
      <c r="N152" s="14"/>
      <c r="O152" s="14"/>
      <c r="P152" s="14"/>
      <c r="Q152" s="27"/>
      <c r="R152" s="15"/>
    </row>
    <row r="153" spans="1:18" x14ac:dyDescent="0.3">
      <c r="A153" s="13"/>
      <c r="B153" s="24"/>
      <c r="C153" s="24"/>
      <c r="D153" s="25"/>
      <c r="E153" s="26"/>
      <c r="F153" s="14"/>
      <c r="G153" s="14"/>
      <c r="H153" s="14"/>
      <c r="I153" s="14"/>
      <c r="K153" s="14"/>
      <c r="L153" s="14"/>
      <c r="M153" s="14"/>
      <c r="N153" s="14"/>
      <c r="O153" s="14"/>
      <c r="P153" s="14"/>
      <c r="Q153" s="27"/>
      <c r="R153" s="15"/>
    </row>
    <row r="154" spans="1:18" x14ac:dyDescent="0.3">
      <c r="A154" s="13"/>
      <c r="B154" s="24"/>
      <c r="C154" s="24"/>
      <c r="D154" s="25"/>
      <c r="E154" s="26"/>
      <c r="F154" s="14"/>
      <c r="G154" s="14"/>
      <c r="H154" s="14"/>
      <c r="I154" s="14"/>
      <c r="K154" s="14"/>
      <c r="L154" s="14"/>
      <c r="M154" s="14"/>
      <c r="N154" s="14"/>
      <c r="O154" s="14"/>
      <c r="P154" s="14"/>
      <c r="Q154" s="27"/>
      <c r="R154" s="15"/>
    </row>
    <row r="155" spans="1:18" x14ac:dyDescent="0.3">
      <c r="A155" s="13"/>
      <c r="B155" s="24"/>
      <c r="C155" s="24"/>
      <c r="D155" s="25"/>
      <c r="E155" s="26"/>
      <c r="F155" s="14"/>
      <c r="G155" s="14"/>
      <c r="H155" s="14"/>
      <c r="I155" s="14"/>
      <c r="K155" s="14"/>
      <c r="L155" s="14"/>
      <c r="M155" s="14"/>
      <c r="N155" s="14"/>
      <c r="O155" s="14"/>
      <c r="P155" s="14"/>
      <c r="Q155" s="27"/>
      <c r="R155" s="15"/>
    </row>
    <row r="156" spans="1:18" x14ac:dyDescent="0.3">
      <c r="A156" s="13"/>
      <c r="B156" s="24"/>
      <c r="C156" s="24"/>
      <c r="D156" s="25"/>
      <c r="E156" s="26"/>
      <c r="F156" s="14"/>
      <c r="G156" s="14"/>
      <c r="H156" s="14"/>
      <c r="I156" s="14"/>
      <c r="K156" s="14"/>
      <c r="L156" s="14"/>
      <c r="M156" s="14"/>
      <c r="N156" s="14"/>
      <c r="O156" s="14"/>
      <c r="P156" s="14"/>
      <c r="Q156" s="27"/>
      <c r="R156" s="15"/>
    </row>
    <row r="157" spans="1:18" x14ac:dyDescent="0.3">
      <c r="A157" s="13"/>
      <c r="B157" s="24"/>
      <c r="C157" s="24"/>
      <c r="D157" s="25"/>
      <c r="E157" s="26"/>
      <c r="F157" s="14"/>
      <c r="G157" s="14"/>
      <c r="H157" s="14"/>
      <c r="I157" s="14"/>
      <c r="K157" s="14"/>
      <c r="L157" s="14"/>
      <c r="M157" s="14"/>
      <c r="N157" s="14"/>
      <c r="O157" s="14"/>
      <c r="P157" s="14"/>
      <c r="Q157" s="27"/>
      <c r="R157" s="15"/>
    </row>
    <row r="158" spans="1:18" x14ac:dyDescent="0.3">
      <c r="A158" s="23"/>
      <c r="B158" s="28"/>
      <c r="C158" s="28"/>
      <c r="D158" s="29"/>
      <c r="E158" s="30"/>
      <c r="F158" s="21"/>
      <c r="G158" s="21"/>
      <c r="H158" s="21"/>
      <c r="I158" s="21"/>
      <c r="K158" s="21"/>
      <c r="L158" s="21"/>
      <c r="M158" s="21"/>
      <c r="N158" s="21"/>
      <c r="O158" s="21"/>
      <c r="P158" s="21"/>
      <c r="Q158" s="31"/>
      <c r="R158" s="22"/>
    </row>
  </sheetData>
  <conditionalFormatting sqref="C2:C5 C8:C158">
    <cfRule type="containsText" dxfId="28" priority="11" operator="containsText" text="Low Sales">
      <formula>NOT(ISERROR(SEARCH("Low Sales",C2)))</formula>
    </cfRule>
    <cfRule type="containsText" dxfId="27" priority="12" operator="containsText" text="High Sales">
      <formula>NOT(ISERROR(SEARCH("High Sales",C2)))</formula>
    </cfRule>
  </conditionalFormatting>
  <conditionalFormatting sqref="J2:J158">
    <cfRule type="containsText" dxfId="26" priority="6" operator="containsText" text="weak">
      <formula>NOT(ISERROR(SEARCH("weak",J2)))</formula>
    </cfRule>
    <cfRule type="containsText" dxfId="25" priority="7" operator="containsText" text="Super">
      <formula>NOT(ISERROR(SEARCH("Super",J2)))</formula>
    </cfRule>
    <cfRule type="containsText" dxfId="24" priority="8" operator="containsText" text="Moderate">
      <formula>NOT(ISERROR(SEARCH("Moderate",J2)))</formula>
    </cfRule>
    <cfRule type="containsText" dxfId="23" priority="9" operator="containsText" text="Powerful">
      <formula>NOT(ISERROR(SEARCH("Powerful",J2)))</formula>
    </cfRule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">
    <cfRule type="containsText" dxfId="22" priority="1" operator="containsText" text="weak">
      <formula>NOT(ISERROR(SEARCH("weak",J1)))</formula>
    </cfRule>
    <cfRule type="containsText" dxfId="21" priority="2" operator="containsText" text="Super">
      <formula>NOT(ISERROR(SEARCH("Super",J1)))</formula>
    </cfRule>
    <cfRule type="containsText" dxfId="20" priority="3" operator="containsText" text="Moderate">
      <formula>NOT(ISERROR(SEARCH("Moderate",J1)))</formula>
    </cfRule>
    <cfRule type="containsText" dxfId="19" priority="4" operator="containsText" text="Powerful">
      <formula>NOT(ISERROR(SEARCH("Powerful",J1)))</formula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Car_sales</vt:lpstr>
      <vt:lpstr>Xlookup</vt:lpstr>
      <vt:lpstr>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haider ali</cp:lastModifiedBy>
  <dcterms:created xsi:type="dcterms:W3CDTF">2025-11-08T16:33:33Z</dcterms:created>
  <dcterms:modified xsi:type="dcterms:W3CDTF">2025-11-18T18:59:28Z</dcterms:modified>
</cp:coreProperties>
</file>