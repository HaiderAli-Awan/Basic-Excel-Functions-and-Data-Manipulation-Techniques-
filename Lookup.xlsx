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COURCE VEDIOS\"/>
    </mc:Choice>
  </mc:AlternateContent>
  <xr:revisionPtr revIDLastSave="0" documentId="13_ncr:1_{5747CC9D-3BBB-4496-BD8C-BB98D44143A9}" xr6:coauthVersionLast="47" xr6:coauthVersionMax="47" xr10:uidLastSave="{00000000-0000-0000-0000-000000000000}"/>
  <bookViews>
    <workbookView xWindow="-108" yWindow="-108" windowWidth="23256" windowHeight="12456" activeTab="1" xr2:uid="{80A2D1DF-9025-4F9A-841F-E1BCCFD46CBB}"/>
  </bookViews>
  <sheets>
    <sheet name="Vlookup" sheetId="1" r:id="rId1"/>
    <sheet name="Hlookup" sheetId="2" r:id="rId2"/>
    <sheet name="Xlookup" sheetId="3" r:id="rId3"/>
    <sheet name="Index &amp; match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" l="1"/>
  <c r="D24" i="2"/>
  <c r="D22" i="2"/>
  <c r="I4" i="4"/>
  <c r="I7" i="4"/>
  <c r="I6" i="4" s="1" a="1"/>
  <c r="I6" i="4" s="1"/>
  <c r="I8" i="4"/>
  <c r="K5" i="3" a="1"/>
  <c r="K5" i="3" s="1"/>
  <c r="D9" i="2"/>
  <c r="J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<sst xmlns="http://schemas.openxmlformats.org/spreadsheetml/2006/main" count="108" uniqueCount="21">
  <si>
    <t>Name</t>
  </si>
  <si>
    <t>Employee ID</t>
  </si>
  <si>
    <t>Bonus</t>
  </si>
  <si>
    <t>Salary</t>
  </si>
  <si>
    <t>Rajat L</t>
  </si>
  <si>
    <t>Namit J</t>
  </si>
  <si>
    <t>Kriya V</t>
  </si>
  <si>
    <t>Mohd Y</t>
  </si>
  <si>
    <t>Lokesh R</t>
  </si>
  <si>
    <t>Chris G</t>
  </si>
  <si>
    <t>Neha A</t>
  </si>
  <si>
    <t>Rakesh B</t>
  </si>
  <si>
    <t>Santosh B</t>
  </si>
  <si>
    <t>Vikas C</t>
  </si>
  <si>
    <t>Vivek D</t>
  </si>
  <si>
    <t>Bharat G</t>
  </si>
  <si>
    <t>Nilesh S</t>
  </si>
  <si>
    <t>Xlookup</t>
  </si>
  <si>
    <t>Hlookup</t>
  </si>
  <si>
    <t>Only Index</t>
  </si>
  <si>
    <t>Only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</si>
</sst>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5F70-740C-4AA9-BD80-A0DECEE1CDF0}">
  <dimension ref="C5:J18"/>
  <sheetViews>
    <sheetView showGridLines="0" topLeftCell="A4" zoomScale="190" zoomScaleNormal="190" workbookViewId="0">
      <selection activeCell="I6" sqref="I6"/>
    </sheetView>
  </sheetViews>
  <sheetFormatPr defaultRowHeight="14.4" x14ac:dyDescent="0.3"/>
  <cols>
    <col min="4" max="4" width="12.109375" bestFit="1" customWidth="1"/>
    <col min="5" max="6" width="9.88671875" bestFit="1" customWidth="1"/>
  </cols>
  <sheetData>
    <row r="5" spans="3:10" x14ac:dyDescent="0.3">
      <c r="C5" s="1" t="s">
        <v>0</v>
      </c>
      <c r="D5" s="5" t="s">
        <v>1</v>
      </c>
      <c r="E5" s="5" t="s">
        <v>3</v>
      </c>
      <c r="F5" s="5" t="s">
        <v>2</v>
      </c>
      <c r="I5" s="1" t="s">
        <v>0</v>
      </c>
      <c r="J5" s="1" t="s">
        <v>2</v>
      </c>
    </row>
    <row r="6" spans="3:10" x14ac:dyDescent="0.3">
      <c r="C6" t="s">
        <v>4</v>
      </c>
      <c r="D6" s="3">
        <v>1190</v>
      </c>
      <c r="E6" s="7">
        <v>919738</v>
      </c>
      <c r="F6" s="7">
        <v>206941.05000000002</v>
      </c>
      <c r="I6" t="s">
        <v>10</v>
      </c>
      <c r="J6">
        <f>VLOOKUP(I6,C6:F18,4,FALSE)</f>
        <v>168189.97500000001</v>
      </c>
    </row>
    <row r="7" spans="3:10" x14ac:dyDescent="0.3">
      <c r="C7" t="s">
        <v>5</v>
      </c>
      <c r="D7" s="3">
        <v>1334</v>
      </c>
      <c r="E7" s="7">
        <v>868450</v>
      </c>
      <c r="F7" s="7">
        <v>195401.25</v>
      </c>
    </row>
    <row r="8" spans="3:10" x14ac:dyDescent="0.3">
      <c r="C8" t="s">
        <v>6</v>
      </c>
      <c r="D8" s="3">
        <v>1631</v>
      </c>
      <c r="E8" s="7">
        <v>970292</v>
      </c>
      <c r="F8" s="7">
        <v>218315.7</v>
      </c>
    </row>
    <row r="9" spans="3:10" x14ac:dyDescent="0.3">
      <c r="C9" t="s">
        <v>7</v>
      </c>
      <c r="D9" s="3">
        <v>1163</v>
      </c>
      <c r="E9" s="7">
        <v>974125</v>
      </c>
      <c r="F9" s="7">
        <v>219178.125</v>
      </c>
    </row>
    <row r="10" spans="3:10" x14ac:dyDescent="0.3">
      <c r="C10" t="s">
        <v>8</v>
      </c>
      <c r="D10" s="3">
        <v>1454</v>
      </c>
      <c r="E10" s="7">
        <v>995086</v>
      </c>
      <c r="F10" s="7">
        <v>223894.35</v>
      </c>
    </row>
    <row r="11" spans="3:10" x14ac:dyDescent="0.3">
      <c r="C11" t="s">
        <v>9</v>
      </c>
      <c r="D11" s="3">
        <v>1263</v>
      </c>
      <c r="E11" s="7">
        <v>996563</v>
      </c>
      <c r="F11" s="7">
        <v>224226.67500000002</v>
      </c>
    </row>
    <row r="12" spans="3:10" x14ac:dyDescent="0.3">
      <c r="C12" t="s">
        <v>10</v>
      </c>
      <c r="D12" s="3">
        <v>1767</v>
      </c>
      <c r="E12" s="7">
        <v>747511</v>
      </c>
      <c r="F12" s="7">
        <v>168189.97500000001</v>
      </c>
    </row>
    <row r="13" spans="3:10" x14ac:dyDescent="0.3">
      <c r="C13" t="s">
        <v>11</v>
      </c>
      <c r="D13" s="3">
        <v>1666</v>
      </c>
      <c r="E13" s="7">
        <v>735280</v>
      </c>
      <c r="F13" s="7">
        <v>165438</v>
      </c>
    </row>
    <row r="14" spans="3:10" x14ac:dyDescent="0.3">
      <c r="C14" t="s">
        <v>12</v>
      </c>
      <c r="D14" s="3">
        <v>1255</v>
      </c>
      <c r="E14" s="7">
        <v>764439</v>
      </c>
      <c r="F14" s="7">
        <v>171998.77499999999</v>
      </c>
    </row>
    <row r="15" spans="3:10" x14ac:dyDescent="0.3">
      <c r="C15" t="s">
        <v>13</v>
      </c>
      <c r="D15" s="3">
        <v>1352</v>
      </c>
      <c r="E15" s="7">
        <v>917987</v>
      </c>
      <c r="F15" s="7">
        <v>206547.07500000001</v>
      </c>
      <c r="H15" s="2"/>
    </row>
    <row r="16" spans="3:10" x14ac:dyDescent="0.3">
      <c r="C16" t="s">
        <v>14</v>
      </c>
      <c r="D16" s="3">
        <v>1512</v>
      </c>
      <c r="E16" s="7">
        <v>778095</v>
      </c>
      <c r="F16" s="7">
        <v>175071.375</v>
      </c>
    </row>
    <row r="17" spans="3:6" x14ac:dyDescent="0.3">
      <c r="C17" t="s">
        <v>15</v>
      </c>
      <c r="D17" s="3">
        <v>1120</v>
      </c>
      <c r="E17" s="7">
        <v>963652</v>
      </c>
      <c r="F17" s="7">
        <v>216821.7</v>
      </c>
    </row>
    <row r="18" spans="3:6" x14ac:dyDescent="0.3">
      <c r="C18" t="s">
        <v>16</v>
      </c>
      <c r="D18" s="3">
        <v>1927</v>
      </c>
      <c r="E18" s="7">
        <v>709624</v>
      </c>
      <c r="F18" s="7">
        <v>159665.4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F273-7F53-487F-8180-18C0890221C0}">
  <dimension ref="C2:P24"/>
  <sheetViews>
    <sheetView showGridLines="0" tabSelected="1" topLeftCell="B7" zoomScale="130" zoomScaleNormal="130" workbookViewId="0">
      <selection activeCell="E23" sqref="E23"/>
    </sheetView>
  </sheetViews>
  <sheetFormatPr defaultRowHeight="14.4" x14ac:dyDescent="0.3"/>
  <cols>
    <col min="3" max="3" width="12.109375" bestFit="1" customWidth="1"/>
    <col min="4" max="16" width="10.33203125" bestFit="1" customWidth="1"/>
  </cols>
  <sheetData>
    <row r="2" spans="3:16" x14ac:dyDescent="0.3">
      <c r="C2" t="s">
        <v>18</v>
      </c>
    </row>
    <row r="3" spans="3:16" x14ac:dyDescent="0.3">
      <c r="C3" s="1" t="s">
        <v>0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3:16" x14ac:dyDescent="0.3">
      <c r="C4" s="1" t="s">
        <v>1</v>
      </c>
      <c r="D4" s="3">
        <v>1190</v>
      </c>
      <c r="E4" s="3">
        <v>1334</v>
      </c>
      <c r="F4" s="3">
        <v>1631</v>
      </c>
      <c r="G4" s="3">
        <v>1163</v>
      </c>
      <c r="H4" s="3">
        <v>1454</v>
      </c>
      <c r="I4" s="3">
        <v>1263</v>
      </c>
      <c r="J4" s="3">
        <v>1767</v>
      </c>
      <c r="K4" s="3">
        <v>1666</v>
      </c>
      <c r="L4" s="3">
        <v>1255</v>
      </c>
      <c r="M4" s="3">
        <v>1352</v>
      </c>
      <c r="N4" s="3">
        <v>1512</v>
      </c>
      <c r="O4" s="3">
        <v>1120</v>
      </c>
      <c r="P4" s="3">
        <v>1927</v>
      </c>
    </row>
    <row r="5" spans="3:16" x14ac:dyDescent="0.3">
      <c r="C5" s="1" t="s">
        <v>3</v>
      </c>
      <c r="D5" s="7">
        <v>919738</v>
      </c>
      <c r="E5" s="7">
        <v>868450</v>
      </c>
      <c r="F5" s="7">
        <v>970292</v>
      </c>
      <c r="G5" s="7">
        <v>974125</v>
      </c>
      <c r="H5" s="7">
        <v>995086</v>
      </c>
      <c r="I5" s="7">
        <v>996563</v>
      </c>
      <c r="J5" s="7">
        <v>747511</v>
      </c>
      <c r="K5" s="7">
        <v>735280</v>
      </c>
      <c r="L5" s="7">
        <v>764439</v>
      </c>
      <c r="M5" s="7">
        <v>917987</v>
      </c>
      <c r="N5" s="7">
        <v>778095</v>
      </c>
      <c r="O5" s="7">
        <v>963652</v>
      </c>
      <c r="P5" s="7">
        <v>709624</v>
      </c>
    </row>
    <row r="6" spans="3:16" x14ac:dyDescent="0.3">
      <c r="C6" s="1" t="s">
        <v>2</v>
      </c>
      <c r="D6" s="7">
        <v>206941.05000000002</v>
      </c>
      <c r="E6" s="7">
        <v>195401.25</v>
      </c>
      <c r="F6" s="7">
        <v>218315.7</v>
      </c>
      <c r="G6" s="7">
        <v>219178.125</v>
      </c>
      <c r="H6" s="7">
        <v>223894.35</v>
      </c>
      <c r="I6" s="7">
        <v>224226.67500000002</v>
      </c>
      <c r="J6" s="7">
        <v>168189.97500000001</v>
      </c>
      <c r="K6" s="7">
        <v>165438</v>
      </c>
      <c r="L6" s="7">
        <v>171998.77499999999</v>
      </c>
      <c r="M6" s="7">
        <v>206547.07500000001</v>
      </c>
      <c r="N6" s="7">
        <v>175071.375</v>
      </c>
      <c r="O6" s="7">
        <v>216821.7</v>
      </c>
      <c r="P6" s="7">
        <v>159665.4</v>
      </c>
    </row>
    <row r="8" spans="3:16" x14ac:dyDescent="0.3">
      <c r="C8" s="1" t="s">
        <v>0</v>
      </c>
      <c r="D8" s="1" t="s">
        <v>2</v>
      </c>
    </row>
    <row r="9" spans="3:16" x14ac:dyDescent="0.3">
      <c r="C9" t="s">
        <v>10</v>
      </c>
      <c r="D9" s="7">
        <f>HLOOKUP(C9,D3:P6,4,FALSE)</f>
        <v>168189.97500000001</v>
      </c>
    </row>
    <row r="14" spans="3:16" x14ac:dyDescent="0.3">
      <c r="C14" t="s">
        <v>17</v>
      </c>
    </row>
    <row r="16" spans="3:16" x14ac:dyDescent="0.3">
      <c r="C16" s="1" t="s">
        <v>1</v>
      </c>
      <c r="D16" s="3">
        <v>1190</v>
      </c>
      <c r="E16" s="3">
        <v>1334</v>
      </c>
      <c r="F16" s="3">
        <v>1631</v>
      </c>
      <c r="G16" s="3">
        <v>1163</v>
      </c>
      <c r="H16" s="3">
        <v>1454</v>
      </c>
      <c r="I16" s="3">
        <v>1263</v>
      </c>
      <c r="J16" s="3">
        <v>1767</v>
      </c>
      <c r="K16" s="3">
        <v>1666</v>
      </c>
      <c r="L16" s="3">
        <v>1255</v>
      </c>
      <c r="M16" s="3">
        <v>1352</v>
      </c>
      <c r="N16" s="3">
        <v>1512</v>
      </c>
      <c r="O16" s="3">
        <v>1120</v>
      </c>
      <c r="P16" s="3">
        <v>1927</v>
      </c>
    </row>
    <row r="17" spans="3:16" x14ac:dyDescent="0.3">
      <c r="C17" s="1" t="s">
        <v>3</v>
      </c>
      <c r="D17" s="7">
        <v>919738</v>
      </c>
      <c r="E17" s="7">
        <v>868450</v>
      </c>
      <c r="F17" s="7">
        <v>970292</v>
      </c>
      <c r="G17" s="7">
        <v>974125</v>
      </c>
      <c r="H17" s="7">
        <v>995086</v>
      </c>
      <c r="I17" s="7">
        <v>996563</v>
      </c>
      <c r="J17" s="7">
        <v>747511</v>
      </c>
      <c r="K17" s="7">
        <v>735280</v>
      </c>
      <c r="L17" s="7">
        <v>764439</v>
      </c>
      <c r="M17" s="7">
        <v>917987</v>
      </c>
      <c r="N17" s="7">
        <v>778095</v>
      </c>
      <c r="O17" s="7">
        <v>963652</v>
      </c>
      <c r="P17" s="7">
        <v>709624</v>
      </c>
    </row>
    <row r="18" spans="3:16" x14ac:dyDescent="0.3">
      <c r="C18" s="1" t="s">
        <v>2</v>
      </c>
      <c r="D18" s="7">
        <v>206941.05000000002</v>
      </c>
      <c r="E18" s="7">
        <v>195401.25</v>
      </c>
      <c r="F18" s="7">
        <v>218315.7</v>
      </c>
      <c r="G18" s="7">
        <v>219178.125</v>
      </c>
      <c r="H18" s="7">
        <v>223894.35</v>
      </c>
      <c r="I18" s="7">
        <v>224226.67500000002</v>
      </c>
      <c r="J18" s="7">
        <v>168189.97500000001</v>
      </c>
      <c r="K18" s="7">
        <v>165438</v>
      </c>
      <c r="L18" s="7">
        <v>171998.77499999999</v>
      </c>
      <c r="M18" s="7">
        <v>206547.07500000001</v>
      </c>
      <c r="N18" s="7">
        <v>175071.375</v>
      </c>
      <c r="O18" s="7">
        <v>216821.7</v>
      </c>
      <c r="P18" s="7">
        <v>159665.4</v>
      </c>
    </row>
    <row r="19" spans="3:16" x14ac:dyDescent="0.3">
      <c r="C19" s="1" t="s">
        <v>0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  <c r="J19" s="3" t="s">
        <v>10</v>
      </c>
      <c r="K19" s="3" t="s">
        <v>11</v>
      </c>
      <c r="L19" s="3" t="s">
        <v>12</v>
      </c>
      <c r="M19" s="3" t="s">
        <v>13</v>
      </c>
      <c r="N19" s="3" t="s">
        <v>14</v>
      </c>
      <c r="O19" s="3" t="s">
        <v>15</v>
      </c>
      <c r="P19" s="3" t="s">
        <v>16</v>
      </c>
    </row>
    <row r="21" spans="3:16" x14ac:dyDescent="0.3">
      <c r="C21" s="1" t="s">
        <v>0</v>
      </c>
      <c r="D21" s="1" t="s">
        <v>2</v>
      </c>
    </row>
    <row r="22" spans="3:16" x14ac:dyDescent="0.3">
      <c r="C22" t="s">
        <v>10</v>
      </c>
      <c r="D22" s="7">
        <f>_xlfn.XLOOKUP($C$22,$D$19:$P$19,$D$18:$P$18)</f>
        <v>168189.97500000001</v>
      </c>
    </row>
    <row r="23" spans="3:16" x14ac:dyDescent="0.3">
      <c r="C23" s="3" t="s">
        <v>4</v>
      </c>
      <c r="D23" s="7">
        <f t="shared" ref="D23:D24" si="0">_xlfn.XLOOKUP($C$22,$D$19:$P$19,$D$18:$P$18)</f>
        <v>168189.97500000001</v>
      </c>
    </row>
    <row r="24" spans="3:16" x14ac:dyDescent="0.3">
      <c r="C24" s="3" t="s">
        <v>5</v>
      </c>
      <c r="D24" s="7">
        <f t="shared" si="0"/>
        <v>168189.97500000001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B0C6-E1FE-48BC-8EBD-880C0BF23164}">
  <dimension ref="E4:L17"/>
  <sheetViews>
    <sheetView showGridLines="0" topLeftCell="B1" zoomScale="190" zoomScaleNormal="190" workbookViewId="0">
      <selection activeCell="E4" sqref="E4:L17"/>
    </sheetView>
  </sheetViews>
  <sheetFormatPr defaultRowHeight="14.4" x14ac:dyDescent="0.3"/>
  <cols>
    <col min="7" max="7" width="11.5546875" bestFit="1" customWidth="1"/>
  </cols>
  <sheetData>
    <row r="4" spans="5:12" x14ac:dyDescent="0.3">
      <c r="E4" s="1" t="s">
        <v>1</v>
      </c>
      <c r="F4" s="5" t="s">
        <v>3</v>
      </c>
      <c r="G4" s="5" t="s">
        <v>2</v>
      </c>
      <c r="H4" s="5" t="s">
        <v>0</v>
      </c>
      <c r="J4" s="1" t="s">
        <v>0</v>
      </c>
      <c r="K4" s="1" t="s">
        <v>3</v>
      </c>
      <c r="L4" s="1" t="s">
        <v>2</v>
      </c>
    </row>
    <row r="5" spans="5:12" x14ac:dyDescent="0.3">
      <c r="E5" s="4">
        <v>1190</v>
      </c>
      <c r="F5" s="3">
        <v>919738</v>
      </c>
      <c r="G5" s="6">
        <v>206941.05000000002</v>
      </c>
      <c r="H5" s="3" t="s">
        <v>4</v>
      </c>
      <c r="J5" t="s">
        <v>10</v>
      </c>
      <c r="K5" cm="1">
        <f t="array" ref="K5:L5">_xlfn.XLOOKUP(J5,H5:H17,F5:G17)</f>
        <v>747511</v>
      </c>
      <c r="L5">
        <v>168189.97500000001</v>
      </c>
    </row>
    <row r="6" spans="5:12" x14ac:dyDescent="0.3">
      <c r="E6" s="4">
        <v>1334</v>
      </c>
      <c r="F6" s="3">
        <v>868450</v>
      </c>
      <c r="G6" s="6">
        <v>195401.25</v>
      </c>
      <c r="H6" s="3" t="s">
        <v>5</v>
      </c>
    </row>
    <row r="7" spans="5:12" x14ac:dyDescent="0.3">
      <c r="E7" s="4">
        <v>1631</v>
      </c>
      <c r="F7" s="3">
        <v>970292</v>
      </c>
      <c r="G7" s="6">
        <v>218315.7</v>
      </c>
      <c r="H7" s="3" t="s">
        <v>6</v>
      </c>
    </row>
    <row r="8" spans="5:12" x14ac:dyDescent="0.3">
      <c r="E8" s="4">
        <v>1163</v>
      </c>
      <c r="F8" s="3">
        <v>974125</v>
      </c>
      <c r="G8" s="6">
        <v>219178.125</v>
      </c>
      <c r="H8" s="3" t="s">
        <v>7</v>
      </c>
    </row>
    <row r="9" spans="5:12" x14ac:dyDescent="0.3">
      <c r="E9" s="4">
        <v>1454</v>
      </c>
      <c r="F9" s="3">
        <v>995086</v>
      </c>
      <c r="G9" s="6">
        <v>223894.35</v>
      </c>
      <c r="H9" s="3" t="s">
        <v>8</v>
      </c>
    </row>
    <row r="10" spans="5:12" x14ac:dyDescent="0.3">
      <c r="E10" s="4">
        <v>1263</v>
      </c>
      <c r="F10" s="3">
        <v>996563</v>
      </c>
      <c r="G10" s="6">
        <v>224226.67500000002</v>
      </c>
      <c r="H10" s="3" t="s">
        <v>9</v>
      </c>
    </row>
    <row r="11" spans="5:12" x14ac:dyDescent="0.3">
      <c r="E11" s="4">
        <v>1767</v>
      </c>
      <c r="F11" s="3">
        <v>747511</v>
      </c>
      <c r="G11" s="6">
        <v>168189.97500000001</v>
      </c>
      <c r="H11" s="3" t="s">
        <v>10</v>
      </c>
    </row>
    <row r="12" spans="5:12" x14ac:dyDescent="0.3">
      <c r="E12" s="4">
        <v>1666</v>
      </c>
      <c r="F12" s="3">
        <v>735280</v>
      </c>
      <c r="G12" s="6">
        <v>165438</v>
      </c>
      <c r="H12" s="3" t="s">
        <v>11</v>
      </c>
    </row>
    <row r="13" spans="5:12" x14ac:dyDescent="0.3">
      <c r="E13" s="4">
        <v>1255</v>
      </c>
      <c r="F13" s="3">
        <v>764439</v>
      </c>
      <c r="G13" s="6">
        <v>171998.77499999999</v>
      </c>
      <c r="H13" s="3" t="s">
        <v>12</v>
      </c>
    </row>
    <row r="14" spans="5:12" x14ac:dyDescent="0.3">
      <c r="E14" s="4">
        <v>1352</v>
      </c>
      <c r="F14" s="3">
        <v>917987</v>
      </c>
      <c r="G14" s="6">
        <v>206547.07500000001</v>
      </c>
      <c r="H14" s="3" t="s">
        <v>13</v>
      </c>
      <c r="I14" s="2"/>
    </row>
    <row r="15" spans="5:12" x14ac:dyDescent="0.3">
      <c r="E15" s="4">
        <v>1512</v>
      </c>
      <c r="F15" s="3">
        <v>778095</v>
      </c>
      <c r="G15" s="6">
        <v>175071.375</v>
      </c>
      <c r="H15" s="3" t="s">
        <v>14</v>
      </c>
    </row>
    <row r="16" spans="5:12" x14ac:dyDescent="0.3">
      <c r="E16" s="4">
        <v>1120</v>
      </c>
      <c r="F16" s="3">
        <v>963652</v>
      </c>
      <c r="G16" s="6">
        <v>216821.7</v>
      </c>
      <c r="H16" s="3" t="s">
        <v>15</v>
      </c>
    </row>
    <row r="17" spans="5:8" x14ac:dyDescent="0.3">
      <c r="E17" s="4">
        <v>1927</v>
      </c>
      <c r="F17" s="3">
        <v>709624</v>
      </c>
      <c r="G17" s="6">
        <v>159665.4</v>
      </c>
      <c r="H17" s="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54CC-2C40-4736-A9AF-A16045E213FE}">
  <dimension ref="C3:I16"/>
  <sheetViews>
    <sheetView showGridLines="0" zoomScale="175" zoomScaleNormal="175" workbookViewId="0">
      <selection activeCell="I4" sqref="I4"/>
    </sheetView>
  </sheetViews>
  <sheetFormatPr defaultRowHeight="14.4" x14ac:dyDescent="0.3"/>
  <cols>
    <col min="3" max="3" width="12.109375" bestFit="1" customWidth="1"/>
    <col min="8" max="8" width="10.5546875" bestFit="1" customWidth="1"/>
  </cols>
  <sheetData>
    <row r="3" spans="3:9" x14ac:dyDescent="0.3">
      <c r="C3" s="1" t="s">
        <v>1</v>
      </c>
      <c r="D3" s="5" t="s">
        <v>3</v>
      </c>
      <c r="E3" s="5" t="s">
        <v>2</v>
      </c>
      <c r="F3" s="5" t="s">
        <v>0</v>
      </c>
      <c r="H3" s="1" t="s">
        <v>0</v>
      </c>
      <c r="I3" s="1" t="s">
        <v>3</v>
      </c>
    </row>
    <row r="4" spans="3:9" x14ac:dyDescent="0.3">
      <c r="C4" s="4">
        <v>1190</v>
      </c>
      <c r="D4" s="3">
        <v>919738</v>
      </c>
      <c r="E4" s="6">
        <v>206941.05000000002</v>
      </c>
      <c r="F4" s="3" t="s">
        <v>4</v>
      </c>
      <c r="H4" t="s">
        <v>10</v>
      </c>
      <c r="I4">
        <f>INDEX(C4:F16,MATCH(H4,F4:F16),MATCH(I3,C3:F3))</f>
        <v>747511</v>
      </c>
    </row>
    <row r="5" spans="3:9" x14ac:dyDescent="0.3">
      <c r="C5" s="4">
        <v>1334</v>
      </c>
      <c r="D5" s="3">
        <v>868450</v>
      </c>
      <c r="E5" s="6">
        <v>195401.25</v>
      </c>
      <c r="F5" s="3" t="s">
        <v>5</v>
      </c>
    </row>
    <row r="6" spans="3:9" x14ac:dyDescent="0.3">
      <c r="C6" s="4">
        <v>1631</v>
      </c>
      <c r="D6" s="3">
        <v>970292</v>
      </c>
      <c r="E6" s="6">
        <v>218315.7</v>
      </c>
      <c r="F6" s="3" t="s">
        <v>6</v>
      </c>
      <c r="H6" t="s">
        <v>19</v>
      </c>
      <c r="I6" cm="1">
        <f t="array" ref="I6">INDEX(C4:F16,I7,I8)</f>
        <v>747511</v>
      </c>
    </row>
    <row r="7" spans="3:9" x14ac:dyDescent="0.3">
      <c r="C7" s="4">
        <v>1163</v>
      </c>
      <c r="D7" s="3">
        <v>974125</v>
      </c>
      <c r="E7" s="6">
        <v>219178.125</v>
      </c>
      <c r="F7" s="3" t="s">
        <v>7</v>
      </c>
      <c r="H7" t="s">
        <v>20</v>
      </c>
      <c r="I7">
        <f>MATCH(H4,F4:F16)</f>
        <v>7</v>
      </c>
    </row>
    <row r="8" spans="3:9" x14ac:dyDescent="0.3">
      <c r="C8" s="4">
        <v>1454</v>
      </c>
      <c r="D8" s="3">
        <v>995086</v>
      </c>
      <c r="E8" s="6">
        <v>223894.35</v>
      </c>
      <c r="F8" s="3" t="s">
        <v>8</v>
      </c>
      <c r="H8" t="s">
        <v>20</v>
      </c>
      <c r="I8">
        <f>MATCH(I3,C3:F3)</f>
        <v>2</v>
      </c>
    </row>
    <row r="9" spans="3:9" x14ac:dyDescent="0.3">
      <c r="C9" s="4">
        <v>1263</v>
      </c>
      <c r="D9" s="3">
        <v>996563</v>
      </c>
      <c r="E9" s="6">
        <v>224226.67500000002</v>
      </c>
      <c r="F9" s="3" t="s">
        <v>9</v>
      </c>
    </row>
    <row r="10" spans="3:9" x14ac:dyDescent="0.3">
      <c r="C10" s="4">
        <v>1767</v>
      </c>
      <c r="D10" s="3">
        <v>747511</v>
      </c>
      <c r="E10" s="6">
        <v>168189.97500000001</v>
      </c>
      <c r="F10" s="3" t="s">
        <v>10</v>
      </c>
    </row>
    <row r="11" spans="3:9" x14ac:dyDescent="0.3">
      <c r="C11" s="4">
        <v>1666</v>
      </c>
      <c r="D11" s="3">
        <v>735280</v>
      </c>
      <c r="E11" s="6">
        <v>165438</v>
      </c>
      <c r="F11" s="3" t="s">
        <v>11</v>
      </c>
    </row>
    <row r="12" spans="3:9" x14ac:dyDescent="0.3">
      <c r="C12" s="4">
        <v>1255</v>
      </c>
      <c r="D12" s="3">
        <v>764439</v>
      </c>
      <c r="E12" s="6">
        <v>171998.77499999999</v>
      </c>
      <c r="F12" s="3" t="s">
        <v>12</v>
      </c>
    </row>
    <row r="13" spans="3:9" x14ac:dyDescent="0.3">
      <c r="C13" s="4">
        <v>1352</v>
      </c>
      <c r="D13" s="3">
        <v>917987</v>
      </c>
      <c r="E13" s="6">
        <v>206547.07500000001</v>
      </c>
      <c r="F13" s="3" t="s">
        <v>13</v>
      </c>
      <c r="G13" s="2"/>
    </row>
    <row r="14" spans="3:9" x14ac:dyDescent="0.3">
      <c r="C14" s="4">
        <v>1512</v>
      </c>
      <c r="D14" s="3">
        <v>778095</v>
      </c>
      <c r="E14" s="6">
        <v>175071.375</v>
      </c>
      <c r="F14" s="3" t="s">
        <v>14</v>
      </c>
    </row>
    <row r="15" spans="3:9" x14ac:dyDescent="0.3">
      <c r="C15" s="4">
        <v>1120</v>
      </c>
      <c r="D15" s="3">
        <v>963652</v>
      </c>
      <c r="E15" s="6">
        <v>216821.7</v>
      </c>
      <c r="F15" s="3" t="s">
        <v>15</v>
      </c>
    </row>
    <row r="16" spans="3:9" x14ac:dyDescent="0.3">
      <c r="C16" s="4">
        <v>1927</v>
      </c>
      <c r="D16" s="3">
        <v>709624</v>
      </c>
      <c r="E16" s="6">
        <v>159665.4</v>
      </c>
      <c r="F1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 &amp;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haider ali</cp:lastModifiedBy>
  <dcterms:created xsi:type="dcterms:W3CDTF">2023-10-11T06:57:07Z</dcterms:created>
  <dcterms:modified xsi:type="dcterms:W3CDTF">2025-11-18T18:38:37Z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{FA3B27F2-9E52-40A5-BB57-C126BF0D8EE9}</vt:lpwstr>
  </property>
</Properties>
</file>