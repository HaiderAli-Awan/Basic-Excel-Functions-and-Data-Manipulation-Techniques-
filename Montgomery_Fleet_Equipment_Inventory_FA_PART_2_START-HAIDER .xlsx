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COURCE VEDIOS\"/>
    </mc:Choice>
  </mc:AlternateContent>
  <xr:revisionPtr revIDLastSave="0" documentId="8_{87892D3F-B039-47E5-AB13-5B07C7464CA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ivot 1" sheetId="14" r:id="rId1"/>
    <sheet name="Pivot 2" sheetId="15" r:id="rId2"/>
    <sheet name="Pivot 3" sheetId="16" r:id="rId3"/>
    <sheet name="Montgomery_Fleet_Equipment_Inve" sheetId="1" r:id="rId4"/>
  </sheets>
  <definedNames>
    <definedName name="_xlnm._FilterDatabase" localSheetId="3" hidden="1">Montgomery_Fleet_Equipment_Inve!$A$1:$C$50</definedName>
    <definedName name="_xlcn.WorksheetConnection_Montgomery_Fleet_Equipment_InveAA1" hidden="1">Montgomery_Fleet_Equipment_Inve!$A:$A</definedName>
    <definedName name="_xlcn.WorksheetConnection_Montgomery_Fleet_Equipment_Inventory_FA_PART_2_START.xlsxTable11" hidden="1">Table1[]</definedName>
    <definedName name="_xlcn.WorksheetConnection_Montgomery_Fleet_Equipment_Inventory_FA_PART_2_START.xlsxTable1Department1" hidden="1">Table1[Department]</definedName>
  </definedNames>
  <calcPr calcId="191029"/>
  <pivotCaches>
    <pivotCache cacheId="28" r:id="rId5"/>
  </pivotCaches>
  <extLst>
    <ext xmlns:x15="http://schemas.microsoft.com/office/spreadsheetml/2010/11/main" uri="{FCE2AD5D-F65C-4FA6-A056-5C36A1767C68}">
      <x15:dataModel>
        <x15:modelTables>
          <x15:modelTable id="Table1 Department" name="Table1 Department" connection="WorksheetConnection_Montgomery_Fleet_Equipment_Inventory_FA_PART_2_START.xlsx!Table1[Department]"/>
          <x15:modelTable id="Table1" name="Table1" connection="WorksheetConnection_Montgomery_Fleet_Equipment_Inventory_FA_PART_2_START.xlsx!Table1"/>
          <x15:modelTable id="Range" name="Range" connection="WorksheetConnection_Montgomery_Fleet_Equipment_Inve!$A:$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5" i="1" l="1"/>
  <c r="F54" i="1"/>
  <c r="F58" i="1"/>
  <c r="F57" i="1"/>
  <c r="F5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BF57BC-4027-490F-911F-C1FDBD3E00B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0BF8BE9-A7E9-4E6C-8360-8D6E38B8918A}" name="WorksheetConnection_Montgomery_Fleet_Equipment_Inve!$A:$A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Montgomery_Fleet_Equipment_InveAA1"/>
        </x15:connection>
      </ext>
    </extLst>
  </connection>
  <connection id="3" xr16:uid="{6079EE48-F9E8-4DB2-9DCC-06D8E2BD9887}" name="WorksheetConnection_Montgomery_Fleet_Equipment_Inventory_FA_PART_2_STAR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Montgomery_Fleet_Equipment_Inventory_FA_PART_2_START.xlsxTable11"/>
        </x15:connection>
      </ext>
    </extLst>
  </connection>
  <connection id="4" xr16:uid="{8139C603-63AC-4702-AC8C-38617F53AD37}" name="WorksheetConnection_Montgomery_Fleet_Equipment_Inventory_FA_PART_2_START.xlsx!Table1[Department]" type="102" refreshedVersion="8" minRefreshableVersion="5">
    <extLst>
      <ext xmlns:x15="http://schemas.microsoft.com/office/spreadsheetml/2010/11/main" uri="{DE250136-89BD-433C-8126-D09CA5730AF9}">
        <x15:connection id="Table1 Department" autoDelete="1">
          <x15:rangePr sourceName="_xlcn.WorksheetConnection_Montgomery_Fleet_Equipment_Inventory_FA_PART_2_START.xlsxTable1Department1"/>
        </x15:connection>
      </ext>
    </extLst>
  </connection>
</connections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<sst xmlns="http://schemas.openxmlformats.org/spreadsheetml/2006/main" count="165" uniqueCount="37">
  <si>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</si>
  <si>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</si>
  <si>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</si>
  <si>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</si>
  <si>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</si>
  <si>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</si>
  <si>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</si>
  <si>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</si>
  <si>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</si>
  <si>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</si>
  <si>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</si>
  <si>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</si>
  <si>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</si>
  <si>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</si>
  <si>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</si>
  <si>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</si>
  <si>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</si>
  <si>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</si>
  <si>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</si>
  <si>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</si>
  <si>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</si>
  <si>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</si>
  <si>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</si>
  <si>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</si>
  <si>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</si>
  <si>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</si>
  <si>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</si>
  <si>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</si>
  <si>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</si>
  <si>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</si>
  <si>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</si>
  <si>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COUNT</t>
  </si>
  <si>
    <t>MIN</t>
  </si>
  <si>
    <t>MAX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</si>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</sst>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6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ZIO" refreshedDate="45974.784100694444" createdVersion="8" refreshedVersion="8" minRefreshableVersion="3" recordCount="58" xr:uid="{1BC35967-62BE-424B-AC75-2D4ADDFEEF93}">
  <cacheSource type="worksheet">
    <worksheetSource ref="A1:C1048576" sheet="Montgomery_Fleet_Equipment_Inve"/>
  </cacheSource>
  <cacheFields count="3">
    <cacheField name="Department" numFmtId="0">
      <sharedItems containsBlank="1" count="13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  <m/>
      </sharedItems>
    </cacheField>
    <cacheField name="Equipment Class" numFmtId="0">
      <sharedItems containsBlank="1" count="15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  <m/>
      </sharedItems>
    </cacheField>
    <cacheField name="Equipment Count" numFmtId="0">
      <sharedItems containsString="0" containsBlank="1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  <r>
    <x v="12"/>
    <x v="14"/>
    <m/>
  </r>
  <r>
    <x v="12"/>
    <x v="14"/>
    <m/>
  </r>
  <r>
    <x v="12"/>
    <x v="14"/>
    <m/>
  </r>
  <r>
    <x v="12"/>
    <x v="14"/>
    <m/>
  </r>
  <r>
    <x v="12"/>
    <x v="14"/>
    <m/>
  </r>
  <r>
    <x v="12"/>
    <x v="14"/>
    <m/>
  </r>
  <r>
    <x v="12"/>
    <x v="14"/>
    <m/>
  </r>
  <r>
    <x v="12"/>
    <x v="14"/>
    <m/>
  </r>
  <r>
    <x v="12"/>
    <x v="1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72F2A5-E574-4639-9934-FF63BF8DCB19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4CAA3-B62B-4A49-BC36-E1AAAAA1528F}" name="PivotTable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4">
        <item h="1" sd="0" x="12"/>
        <item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6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x="14"/>
        <item t="default"/>
      </items>
    </pivotField>
    <pivotField dataField="1" showAll="0"/>
  </pivotFields>
  <rowFields count="2">
    <field x="0"/>
    <field x="1"/>
  </rowFields>
  <rowItems count="22">
    <i>
      <x v="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7"/>
    </i>
    <i>
      <x v="4"/>
    </i>
    <i>
      <x v="9"/>
    </i>
    <i>
      <x v="12"/>
    </i>
    <i>
      <x v="5"/>
    </i>
    <i>
      <x v="2"/>
    </i>
    <i>
      <x v="10"/>
    </i>
    <i>
      <x v="3"/>
    </i>
    <i>
      <x v="11"/>
    </i>
    <i>
      <x v="8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5621C-42FF-4C97-A308-9674110952FC}" name="PivotTable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 sortType="ascending">
      <items count="16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h="1" x="14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0"/>
    </i>
    <i r="1">
      <x v="11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C77761-5CBB-4487-B723-AB8310A95B9A}" name="Table1" displayName="Table1" ref="A1:C50">
  <autoFilter ref="A1:C50" xr:uid="{E8C77761-5CBB-4487-B723-AB8310A95B9A}"/>
  <tableColumns count="3">
    <tableColumn id="1" xr3:uid="{46973B3E-6ACF-4B20-8D21-CBA0484319A1}" name="Department"/>
    <tableColumn id="2" xr3:uid="{386A842A-77E4-4955-B303-CBCB3D3C33E4}" name="Equipment Class"/>
    <tableColumn id="3" xr3:uid="{B8FB7446-CD37-40B1-8E26-2FC93D189896}" name="Equipment 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00A25-A03E-481E-8F51-E77AFD12AFC7}">
  <dimension ref="A3:B16"/>
  <sheetViews>
    <sheetView workbookViewId="0">
      <selection activeCell="B18" sqref="B18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s="3" t="s">
        <v>34</v>
      </c>
      <c r="B3" t="s">
        <v>36</v>
      </c>
    </row>
    <row r="4" spans="1:2" x14ac:dyDescent="0.3">
      <c r="A4" s="4" t="s">
        <v>26</v>
      </c>
      <c r="B4" s="6">
        <v>1221</v>
      </c>
    </row>
    <row r="5" spans="1:2" x14ac:dyDescent="0.3">
      <c r="A5" s="4" t="s">
        <v>15</v>
      </c>
      <c r="B5" s="6">
        <v>109</v>
      </c>
    </row>
    <row r="6" spans="1:2" x14ac:dyDescent="0.3">
      <c r="A6" s="4" t="s">
        <v>19</v>
      </c>
      <c r="B6" s="6">
        <v>85</v>
      </c>
    </row>
    <row r="7" spans="1:2" x14ac:dyDescent="0.3">
      <c r="A7" s="4" t="s">
        <v>12</v>
      </c>
      <c r="B7" s="6">
        <v>56</v>
      </c>
    </row>
    <row r="8" spans="1:2" x14ac:dyDescent="0.3">
      <c r="A8" s="4" t="s">
        <v>5</v>
      </c>
      <c r="B8" s="6">
        <v>45</v>
      </c>
    </row>
    <row r="9" spans="1:2" x14ac:dyDescent="0.3">
      <c r="A9" s="4" t="s">
        <v>18</v>
      </c>
      <c r="B9" s="6">
        <v>35</v>
      </c>
    </row>
    <row r="10" spans="1:2" x14ac:dyDescent="0.3">
      <c r="A10" s="4" t="s">
        <v>25</v>
      </c>
      <c r="B10" s="6">
        <v>16</v>
      </c>
    </row>
    <row r="11" spans="1:2" x14ac:dyDescent="0.3">
      <c r="A11" s="4" t="s">
        <v>9</v>
      </c>
      <c r="B11" s="6">
        <v>6</v>
      </c>
    </row>
    <row r="12" spans="1:2" x14ac:dyDescent="0.3">
      <c r="A12" s="4" t="s">
        <v>24</v>
      </c>
      <c r="B12" s="6">
        <v>5</v>
      </c>
    </row>
    <row r="13" spans="1:2" x14ac:dyDescent="0.3">
      <c r="A13" s="4" t="s">
        <v>8</v>
      </c>
      <c r="B13" s="6">
        <v>2</v>
      </c>
    </row>
    <row r="14" spans="1:2" x14ac:dyDescent="0.3">
      <c r="A14" s="4" t="s">
        <v>14</v>
      </c>
      <c r="B14" s="6">
        <v>1</v>
      </c>
    </row>
    <row r="15" spans="1:2" x14ac:dyDescent="0.3">
      <c r="A15" s="4" t="s">
        <v>17</v>
      </c>
      <c r="B15" s="6">
        <v>1</v>
      </c>
    </row>
    <row r="16" spans="1:2" x14ac:dyDescent="0.3">
      <c r="A16" s="4" t="s">
        <v>35</v>
      </c>
      <c r="B16" s="6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AA4A-FE93-41E5-AE04-6A5025E295DE}">
  <dimension ref="A3:B25"/>
  <sheetViews>
    <sheetView workbookViewId="0">
      <selection activeCell="A4" sqref="A4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3" t="s">
        <v>34</v>
      </c>
      <c r="B3" t="s">
        <v>36</v>
      </c>
    </row>
    <row r="4" spans="1:2" x14ac:dyDescent="0.3">
      <c r="A4" s="4" t="s">
        <v>26</v>
      </c>
      <c r="B4" s="6">
        <v>1221</v>
      </c>
    </row>
    <row r="5" spans="1:2" x14ac:dyDescent="0.3">
      <c r="A5" s="5" t="s">
        <v>16</v>
      </c>
      <c r="B5" s="6">
        <v>5</v>
      </c>
    </row>
    <row r="6" spans="1:2" x14ac:dyDescent="0.3">
      <c r="A6" s="5" t="s">
        <v>13</v>
      </c>
      <c r="B6" s="6">
        <v>248</v>
      </c>
    </row>
    <row r="7" spans="1:2" x14ac:dyDescent="0.3">
      <c r="A7" s="5" t="s">
        <v>11</v>
      </c>
      <c r="B7" s="6">
        <v>98</v>
      </c>
    </row>
    <row r="8" spans="1:2" x14ac:dyDescent="0.3">
      <c r="A8" s="5" t="s">
        <v>28</v>
      </c>
      <c r="B8" s="6">
        <v>276</v>
      </c>
    </row>
    <row r="9" spans="1:2" x14ac:dyDescent="0.3">
      <c r="A9" s="5" t="s">
        <v>6</v>
      </c>
      <c r="B9" s="6">
        <v>93</v>
      </c>
    </row>
    <row r="10" spans="1:2" x14ac:dyDescent="0.3">
      <c r="A10" s="5" t="s">
        <v>4</v>
      </c>
      <c r="B10" s="6">
        <v>37</v>
      </c>
    </row>
    <row r="11" spans="1:2" x14ac:dyDescent="0.3">
      <c r="A11" s="5" t="s">
        <v>7</v>
      </c>
      <c r="B11" s="6">
        <v>53</v>
      </c>
    </row>
    <row r="12" spans="1:2" x14ac:dyDescent="0.3">
      <c r="A12" s="5" t="s">
        <v>27</v>
      </c>
      <c r="B12" s="6">
        <v>379</v>
      </c>
    </row>
    <row r="13" spans="1:2" x14ac:dyDescent="0.3">
      <c r="A13" s="5" t="s">
        <v>10</v>
      </c>
      <c r="B13" s="6">
        <v>32</v>
      </c>
    </row>
    <row r="14" spans="1:2" x14ac:dyDescent="0.3">
      <c r="A14" s="4" t="s">
        <v>15</v>
      </c>
      <c r="B14" s="6">
        <v>109</v>
      </c>
    </row>
    <row r="15" spans="1:2" x14ac:dyDescent="0.3">
      <c r="A15" s="4" t="s">
        <v>19</v>
      </c>
      <c r="B15" s="6">
        <v>85</v>
      </c>
    </row>
    <row r="16" spans="1:2" x14ac:dyDescent="0.3">
      <c r="A16" s="4" t="s">
        <v>12</v>
      </c>
      <c r="B16" s="6">
        <v>56</v>
      </c>
    </row>
    <row r="17" spans="1:2" x14ac:dyDescent="0.3">
      <c r="A17" s="4" t="s">
        <v>5</v>
      </c>
      <c r="B17" s="6">
        <v>45</v>
      </c>
    </row>
    <row r="18" spans="1:2" x14ac:dyDescent="0.3">
      <c r="A18" s="4" t="s">
        <v>18</v>
      </c>
      <c r="B18" s="6">
        <v>35</v>
      </c>
    </row>
    <row r="19" spans="1:2" x14ac:dyDescent="0.3">
      <c r="A19" s="4" t="s">
        <v>25</v>
      </c>
      <c r="B19" s="6">
        <v>16</v>
      </c>
    </row>
    <row r="20" spans="1:2" x14ac:dyDescent="0.3">
      <c r="A20" s="4" t="s">
        <v>9</v>
      </c>
      <c r="B20" s="6">
        <v>6</v>
      </c>
    </row>
    <row r="21" spans="1:2" x14ac:dyDescent="0.3">
      <c r="A21" s="4" t="s">
        <v>24</v>
      </c>
      <c r="B21" s="6">
        <v>5</v>
      </c>
    </row>
    <row r="22" spans="1:2" x14ac:dyDescent="0.3">
      <c r="A22" s="4" t="s">
        <v>8</v>
      </c>
      <c r="B22" s="6">
        <v>2</v>
      </c>
    </row>
    <row r="23" spans="1:2" x14ac:dyDescent="0.3">
      <c r="A23" s="4" t="s">
        <v>14</v>
      </c>
      <c r="B23" s="6">
        <v>1</v>
      </c>
    </row>
    <row r="24" spans="1:2" x14ac:dyDescent="0.3">
      <c r="A24" s="4" t="s">
        <v>17</v>
      </c>
      <c r="B24" s="6">
        <v>1</v>
      </c>
    </row>
    <row r="25" spans="1:2" x14ac:dyDescent="0.3">
      <c r="A25" s="4" t="s">
        <v>35</v>
      </c>
      <c r="B25" s="6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2EDC-0E83-49A0-AAEC-71A4764855C5}">
  <dimension ref="A3:B21"/>
  <sheetViews>
    <sheetView tabSelected="1" workbookViewId="0">
      <selection activeCell="B5" sqref="B5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3" t="s">
        <v>34</v>
      </c>
      <c r="B3" t="s">
        <v>36</v>
      </c>
    </row>
    <row r="4" spans="1:2" x14ac:dyDescent="0.3">
      <c r="A4" s="4" t="s">
        <v>16</v>
      </c>
      <c r="B4" s="6">
        <v>15</v>
      </c>
    </row>
    <row r="5" spans="1:2" x14ac:dyDescent="0.3">
      <c r="A5" s="5" t="s">
        <v>15</v>
      </c>
      <c r="B5" s="6">
        <v>9</v>
      </c>
    </row>
    <row r="6" spans="1:2" x14ac:dyDescent="0.3">
      <c r="A6" s="5" t="s">
        <v>25</v>
      </c>
      <c r="B6" s="6">
        <v>1</v>
      </c>
    </row>
    <row r="7" spans="1:2" x14ac:dyDescent="0.3">
      <c r="A7" s="5" t="s">
        <v>26</v>
      </c>
      <c r="B7" s="6">
        <v>5</v>
      </c>
    </row>
    <row r="8" spans="1:2" x14ac:dyDescent="0.3">
      <c r="A8" s="4" t="s">
        <v>13</v>
      </c>
      <c r="B8" s="6">
        <v>290</v>
      </c>
    </row>
    <row r="9" spans="1:2" x14ac:dyDescent="0.3">
      <c r="A9" s="4" t="s">
        <v>11</v>
      </c>
      <c r="B9" s="6">
        <v>100</v>
      </c>
    </row>
    <row r="10" spans="1:2" x14ac:dyDescent="0.3">
      <c r="A10" s="4" t="s">
        <v>28</v>
      </c>
      <c r="B10" s="6">
        <v>283</v>
      </c>
    </row>
    <row r="11" spans="1:2" x14ac:dyDescent="0.3">
      <c r="A11" s="4" t="s">
        <v>6</v>
      </c>
      <c r="B11" s="6">
        <v>150</v>
      </c>
    </row>
    <row r="12" spans="1:2" x14ac:dyDescent="0.3">
      <c r="A12" s="4" t="s">
        <v>21</v>
      </c>
      <c r="B12" s="6">
        <v>4</v>
      </c>
    </row>
    <row r="13" spans="1:2" x14ac:dyDescent="0.3">
      <c r="A13" s="4" t="s">
        <v>23</v>
      </c>
      <c r="B13" s="6">
        <v>1</v>
      </c>
    </row>
    <row r="14" spans="1:2" x14ac:dyDescent="0.3">
      <c r="A14" s="4" t="s">
        <v>22</v>
      </c>
      <c r="B14" s="6">
        <v>47</v>
      </c>
    </row>
    <row r="15" spans="1:2" x14ac:dyDescent="0.3">
      <c r="A15" s="4" t="s">
        <v>3</v>
      </c>
      <c r="B15" s="6">
        <v>20</v>
      </c>
    </row>
    <row r="16" spans="1:2" x14ac:dyDescent="0.3">
      <c r="A16" s="4" t="s">
        <v>20</v>
      </c>
      <c r="B16" s="6">
        <v>8</v>
      </c>
    </row>
    <row r="17" spans="1:2" x14ac:dyDescent="0.3">
      <c r="A17" s="4" t="s">
        <v>4</v>
      </c>
      <c r="B17" s="6">
        <v>130</v>
      </c>
    </row>
    <row r="18" spans="1:2" x14ac:dyDescent="0.3">
      <c r="A18" s="4" t="s">
        <v>7</v>
      </c>
      <c r="B18" s="6">
        <v>90</v>
      </c>
    </row>
    <row r="19" spans="1:2" x14ac:dyDescent="0.3">
      <c r="A19" s="4" t="s">
        <v>27</v>
      </c>
      <c r="B19" s="6">
        <v>379</v>
      </c>
    </row>
    <row r="20" spans="1:2" x14ac:dyDescent="0.3">
      <c r="A20" s="4" t="s">
        <v>10</v>
      </c>
      <c r="B20" s="6">
        <v>65</v>
      </c>
    </row>
    <row r="21" spans="1:2" x14ac:dyDescent="0.3">
      <c r="A21" s="4" t="s">
        <v>35</v>
      </c>
      <c r="B21" s="6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workbookViewId="0">
      <selection sqref="A1:A1048576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6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>
        <v>21</v>
      </c>
    </row>
    <row r="3" spans="1:3" x14ac:dyDescent="0.3">
      <c r="A3" t="s">
        <v>5</v>
      </c>
      <c r="B3" t="s">
        <v>7</v>
      </c>
      <c r="C3">
        <v>1</v>
      </c>
    </row>
    <row r="4" spans="1:3" x14ac:dyDescent="0.3">
      <c r="A4" t="s">
        <v>5</v>
      </c>
      <c r="B4" t="s">
        <v>4</v>
      </c>
      <c r="C4">
        <v>23</v>
      </c>
    </row>
    <row r="5" spans="1:3" x14ac:dyDescent="0.3">
      <c r="A5" t="s">
        <v>8</v>
      </c>
      <c r="B5" t="s">
        <v>4</v>
      </c>
      <c r="C5">
        <v>2</v>
      </c>
    </row>
    <row r="6" spans="1:3" x14ac:dyDescent="0.3">
      <c r="A6" t="s">
        <v>9</v>
      </c>
      <c r="B6" t="s">
        <v>6</v>
      </c>
      <c r="C6">
        <v>3</v>
      </c>
    </row>
    <row r="7" spans="1:3" x14ac:dyDescent="0.3">
      <c r="A7" t="s">
        <v>9</v>
      </c>
      <c r="B7" t="s">
        <v>10</v>
      </c>
      <c r="C7">
        <v>2</v>
      </c>
    </row>
    <row r="8" spans="1:3" x14ac:dyDescent="0.3">
      <c r="A8" t="s">
        <v>9</v>
      </c>
      <c r="B8" t="s">
        <v>11</v>
      </c>
      <c r="C8">
        <v>1</v>
      </c>
    </row>
    <row r="9" spans="1:3" x14ac:dyDescent="0.3">
      <c r="A9" t="s">
        <v>12</v>
      </c>
      <c r="B9" t="s">
        <v>10</v>
      </c>
      <c r="C9">
        <v>2</v>
      </c>
    </row>
    <row r="10" spans="1:3" x14ac:dyDescent="0.3">
      <c r="A10" t="s">
        <v>12</v>
      </c>
      <c r="B10" t="s">
        <v>13</v>
      </c>
      <c r="C10">
        <v>42</v>
      </c>
    </row>
    <row r="11" spans="1:3" x14ac:dyDescent="0.3">
      <c r="A11" t="s">
        <v>12</v>
      </c>
      <c r="B11" t="s">
        <v>7</v>
      </c>
      <c r="C11">
        <v>1</v>
      </c>
    </row>
    <row r="12" spans="1:3" x14ac:dyDescent="0.3">
      <c r="A12" t="s">
        <v>12</v>
      </c>
      <c r="B12" t="s">
        <v>4</v>
      </c>
      <c r="C12">
        <v>11</v>
      </c>
    </row>
    <row r="13" spans="1:3" x14ac:dyDescent="0.3">
      <c r="A13" t="s">
        <v>14</v>
      </c>
      <c r="B13" t="s">
        <v>7</v>
      </c>
      <c r="C13">
        <v>1</v>
      </c>
    </row>
    <row r="14" spans="1:3" x14ac:dyDescent="0.3">
      <c r="A14" t="s">
        <v>15</v>
      </c>
      <c r="B14" t="s">
        <v>16</v>
      </c>
      <c r="C14">
        <v>9</v>
      </c>
    </row>
    <row r="15" spans="1:3" x14ac:dyDescent="0.3">
      <c r="A15" t="s">
        <v>15</v>
      </c>
      <c r="B15" t="s">
        <v>7</v>
      </c>
      <c r="C15">
        <v>27</v>
      </c>
    </row>
    <row r="16" spans="1:3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6" x14ac:dyDescent="0.3">
      <c r="A49" t="s">
        <v>26</v>
      </c>
      <c r="B49" t="s">
        <v>16</v>
      </c>
      <c r="C49">
        <v>5</v>
      </c>
    </row>
    <row r="50" spans="1:6" x14ac:dyDescent="0.3">
      <c r="A50" t="s">
        <v>26</v>
      </c>
      <c r="B50" t="s">
        <v>4</v>
      </c>
      <c r="C50">
        <v>37</v>
      </c>
    </row>
    <row r="54" spans="1:6" x14ac:dyDescent="0.3">
      <c r="E54" s="2" t="s">
        <v>29</v>
      </c>
      <c r="F54" s="1">
        <f>SUBTOTAL(109,Table1[Equipment Count])</f>
        <v>1582</v>
      </c>
    </row>
    <row r="55" spans="1:6" x14ac:dyDescent="0.3">
      <c r="E55" s="2" t="s">
        <v>30</v>
      </c>
      <c r="F55" s="1">
        <f>AVERAGE(Table1[Equipment Count])</f>
        <v>32.285714285714285</v>
      </c>
    </row>
    <row r="56" spans="1:6" x14ac:dyDescent="0.3">
      <c r="E56" s="2" t="s">
        <v>31</v>
      </c>
      <c r="F56" s="1">
        <f>COUNT(Table1[Equipment Count])</f>
        <v>49</v>
      </c>
    </row>
    <row r="57" spans="1:6" x14ac:dyDescent="0.3">
      <c r="E57" s="2" t="s">
        <v>32</v>
      </c>
      <c r="F57" s="1">
        <f>MIN(Table1[Equipment Count])</f>
        <v>1</v>
      </c>
    </row>
    <row r="58" spans="1:6" x14ac:dyDescent="0.3">
      <c r="E58" s="2" t="s">
        <v>33</v>
      </c>
      <c r="F58" s="1">
        <f>MAX(Table1[Equipment Count])</f>
        <v>379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1</vt:lpstr>
      <vt:lpstr>Pivot 2</vt:lpstr>
      <vt:lpstr>Pivot 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EZIO</dc:creator>
  <cp:lastModifiedBy>haider ali</cp:lastModifiedBy>
  <dcterms:created xsi:type="dcterms:W3CDTF">2020-09-01T17:18:12Z</dcterms:created>
  <dcterms:modified xsi:type="dcterms:W3CDTF">2025-11-13T14:01:07Z</dcterms:modified>
</cp:coreProperties>
</file>